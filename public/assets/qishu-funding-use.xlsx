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80" activeTab="3"/>
  </bookViews>
  <sheets>
    <sheet name="封面&amp;导航" sheetId="1" r:id="rId1"/>
    <sheet name="BP展示版" sheetId="2" r:id="rId2"/>
    <sheet name="详细预算拆分" sheetId="3" r:id="rId3"/>
    <sheet name="Runway募资节奏" sheetId="4" r:id="rId4"/>
    <sheet name="融资验证指标" sheetId="5" r:id="rId5"/>
    <sheet name="客户转化漏斗" sheetId="6" r:id="rId6"/>
    <sheet name="ROI Baseline" sheetId="7" r:id="rId7"/>
    <sheet name="收入确认口径" sheetId="8" r:id="rId8"/>
    <sheet name="项目标签归集" sheetId="9" r:id="rId9"/>
    <sheet name="资金纪律与问答" sheetId="10" r:id="rId10"/>
    <sheet name="合规治理&amp;VD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<sst xmlns="http://schemas.openxmlformats.org/spreadsheetml/2006/main" count="621" uniqueCount="505">
  <si>
    <t>GIBIRA｜天使轮资金用途模型（540万｜18个月Runway整理版）</t>
  </si>
  <si>
    <t>版本</t>
  </si>
  <si>
    <t>18个月Runway整理版</t>
  </si>
  <si>
    <t>更新重点</t>
  </si>
  <si>
    <t>15-18个月Runway；收入确认口径；项目标签归集；ROI Baseline；股权治理与VDR</t>
  </si>
  <si>
    <t>适用场景</t>
  </si>
  <si>
    <t>融资BP正文、投资人问答、内部财务测算、VDR准备</t>
  </si>
  <si>
    <t>核心原则</t>
  </si>
  <si>
    <t>先验证后扩张；先客户后规模；先合规后融资；启枢为主线，Harness为平台能力沉淀</t>
  </si>
  <si>
    <t>工作簿结构</t>
  </si>
  <si>
    <t>Sheet</t>
  </si>
  <si>
    <t>用途说明</t>
  </si>
  <si>
    <t>BP展示版</t>
  </si>
  <si>
    <t>面向投资人的简洁资金用途表，可直接放入BP。</t>
  </si>
  <si>
    <t>详细预算拆分</t>
  </si>
  <si>
    <t>二级预算、三阶段支出、关键里程碑和费用属性。</t>
  </si>
  <si>
    <t>Runway募资节奏</t>
  </si>
  <si>
    <t>0-6、7-12、13-18个月三阶段资金释放与融资节奏。</t>
  </si>
  <si>
    <t>融资验证指标</t>
  </si>
  <si>
    <t>资金花完后必须形成的产品、客户、收入、平台、合规证据。</t>
  </si>
  <si>
    <t>客户转化漏斗</t>
  </si>
  <si>
    <t>从客户接触到付费转化的数量目标和转化率公式。</t>
  </si>
  <si>
    <t>ROI Baseline</t>
  </si>
  <si>
    <t>1+AI人效模型的真实基准线测试计划。</t>
  </si>
  <si>
    <t>收入确认口径</t>
  </si>
  <si>
    <t>区分合同额、开票、回款、确认收入、递延收入、MRR/ARR。</t>
  </si>
  <si>
    <t>项目标签归集</t>
  </si>
  <si>
    <t>防止资金被支线项目污染的成本归集规则。</t>
  </si>
  <si>
    <t>资金纪律与问答</t>
  </si>
  <si>
    <t>投资人高频问题与对外回答。</t>
  </si>
  <si>
    <t>合规治理&amp;VDR</t>
  </si>
  <si>
    <t>财税、法务、IP、股权治理、VDR准备清单。</t>
  </si>
  <si>
    <t>来源假设&amp;修改说明</t>
  </si>
  <si>
    <t>关键来源、假设与改动逻辑。</t>
  </si>
  <si>
    <t>GIBIRA｜天使轮资金用途（540万）</t>
  </si>
  <si>
    <t>融资金额</t>
  </si>
  <si>
    <t>关键验证周期</t>
  </si>
  <si>
    <t>安全运营期</t>
  </si>
  <si>
    <t>下一轮启动</t>
  </si>
  <si>
    <t>核心客户目标</t>
  </si>
  <si>
    <t>12个月</t>
  </si>
  <si>
    <t>15-18个月</t>
  </si>
  <si>
    <t>第7-9个月</t>
  </si>
  <si>
    <t>3-5家POC / 2-3家付费</t>
  </si>
  <si>
    <t>费用类别</t>
  </si>
  <si>
    <t>总计(万元)</t>
  </si>
  <si>
    <t>占比</t>
  </si>
  <si>
    <t>0-6个月</t>
  </si>
  <si>
    <t>7-12个月</t>
  </si>
  <si>
    <t>13-18个月安全垫</t>
  </si>
  <si>
    <t>核心里程碑</t>
  </si>
  <si>
    <t>投资人理解</t>
  </si>
  <si>
    <t>产品与平台核心研发</t>
  </si>
  <si>
    <t>启枢核心模块可交付；Harness底层能力初步沉淀</t>
  </si>
  <si>
    <t>产品资产 / 平台资产</t>
  </si>
  <si>
    <t>AI算力与技术基础设施</t>
  </si>
  <si>
    <t>支撑模型调用、图纸识别、POC测试与轻量私有化验证</t>
  </si>
  <si>
    <t>技术基础设施</t>
  </si>
  <si>
    <t>行业数据与知识库资产建设</t>
  </si>
  <si>
    <t>形成建筑/工业规则库、图纸样本库、工艺流程与数据资产台账</t>
  </si>
  <si>
    <t>行业壁垒</t>
  </si>
  <si>
    <t>标杆客户POC与商业化验证</t>
  </si>
  <si>
    <t>完成3-5家POC、2-3家付费转化、1-2个标杆案例</t>
  </si>
  <si>
    <t>客户资产 / 收入验证</t>
  </si>
  <si>
    <t>市场拓展与生态合作</t>
  </si>
  <si>
    <t>聚焦高质量线索、产业生态、重点客户拜访，不做大规模投放</t>
  </si>
  <si>
    <t>获客效率</t>
  </si>
  <si>
    <t>组织运营、财税法务与融资合规</t>
  </si>
  <si>
    <t>完成财税、股权、IP、合同、VDR等融资前治理</t>
  </si>
  <si>
    <t>尽调安全</t>
  </si>
  <si>
    <t>流动资金与应收账款缓冲</t>
  </si>
  <si>
    <t>覆盖B端账期、验收延迟与融资closing周期</t>
  </si>
  <si>
    <t>现金流安全垫</t>
  </si>
  <si>
    <t>合计</t>
  </si>
  <si>
    <t>540万支撑12个月关键验证，并通过资金纪律形成15-18个月Runway</t>
  </si>
  <si>
    <t>下一轮融资准备</t>
  </si>
  <si>
    <t>详细预算拆分｜540万三阶段资金释放</t>
  </si>
  <si>
    <t>一级科目</t>
  </si>
  <si>
    <t>二级项目</t>
  </si>
  <si>
    <t>费用属性</t>
  </si>
  <si>
    <t>关键交付物/备注</t>
  </si>
  <si>
    <t>启枢核心模块研发</t>
  </si>
  <si>
    <t>核心研发</t>
  </si>
  <si>
    <t>图纸解析、空间对象识别、拆单逻辑、3D画布、结果校验</t>
  </si>
  <si>
    <t>Harness系统底层能力验证</t>
  </si>
  <si>
    <t>平台研发</t>
  </si>
  <si>
    <t>任务理解、Agent调度、工具编排、流程审计、跨场景复用</t>
  </si>
  <si>
    <t>产品/前后端/测试/交互优化</t>
  </si>
  <si>
    <t>产品化</t>
  </si>
  <si>
    <t>产品经理、前后端、测试、UI/UX投入，保障可部署与可验收</t>
  </si>
  <si>
    <t>研发工具与软件授权</t>
  </si>
  <si>
    <t>工具授权</t>
  </si>
  <si>
    <t>代码托管、协作工具、CAD/BIM/工业软件接口测试等</t>
  </si>
  <si>
    <t>云服务与模型API</t>
  </si>
  <si>
    <t>COGS/研发</t>
  </si>
  <si>
    <t>按需调用大模型、视觉识别、图纸解析与数据处理</t>
  </si>
  <si>
    <t>数据存储、安全与监控</t>
  </si>
  <si>
    <t>基础设施</t>
  </si>
  <si>
    <t>存储、权限、日志审计、系统监控与安全保障</t>
  </si>
  <si>
    <t>开发测试设备与必要授权</t>
  </si>
  <si>
    <t>设备工具</t>
  </si>
  <si>
    <t>必要开发测试设备与轻量软件授权</t>
  </si>
  <si>
    <t>建筑/工业规则库</t>
  </si>
  <si>
    <t>数据资产</t>
  </si>
  <si>
    <t>规范、工艺规则、拆单逻辑、审查标准结构化</t>
  </si>
  <si>
    <t>图纸样本与生产数据治理</t>
  </si>
  <si>
    <t>CAD/BIM/SVG/DXF/生产参数等清洗、标注、映射</t>
  </si>
  <si>
    <t>跨场景工作流模板沉淀</t>
  </si>
  <si>
    <t>流程资产</t>
  </si>
  <si>
    <t>启枢/巨灵/诺思/蜂聚的轻量复用模板</t>
  </si>
  <si>
    <t>数据合规与资产台账</t>
  </si>
  <si>
    <t>合规资产</t>
  </si>
  <si>
    <t>客户数据边界、授权、资产台账</t>
  </si>
  <si>
    <t>POC项目交付</t>
  </si>
  <si>
    <t>客户交付</t>
  </si>
  <si>
    <t>需求调研、部署、调试、阶段验收</t>
  </si>
  <si>
    <t>解决方案与客户成功</t>
  </si>
  <si>
    <t>客户成功</t>
  </si>
  <si>
    <t>客户培训、工作流激活、续费增购</t>
  </si>
  <si>
    <t>标杆案例与价值报告</t>
  </si>
  <si>
    <t>融资证据</t>
  </si>
  <si>
    <t>ROI报告、客户案例、降本增效数据</t>
  </si>
  <si>
    <t>大客户销售与商务拓展</t>
  </si>
  <si>
    <t>获客</t>
  </si>
  <si>
    <t>工程集团、设计院、制造企业、工业软件伙伴开发</t>
  </si>
  <si>
    <t>产业生态与渠道合作</t>
  </si>
  <si>
    <t>园区、政府平台、软件厂商、硬件厂商、行业协会</t>
  </si>
  <si>
    <t>品牌材料与融资传播</t>
  </si>
  <si>
    <t>传播</t>
  </si>
  <si>
    <t>BP、官网案例、客户演示材料、行业会议</t>
  </si>
  <si>
    <t>商务差旅与客户沟通</t>
  </si>
  <si>
    <t>商务</t>
  </si>
  <si>
    <t>重点客户拜访、现场调研、项目推进</t>
  </si>
  <si>
    <t>财税合规与会计服务</t>
  </si>
  <si>
    <t>合规</t>
  </si>
  <si>
    <t>规范记账、报税、研发费用台账、发票与应收管理</t>
  </si>
  <si>
    <t>法务、股权与合同治理</t>
  </si>
  <si>
    <t>创始人服务协议、IP归属、客户/外包/保密协议</t>
  </si>
  <si>
    <t>知识产权与研发资产管理</t>
  </si>
  <si>
    <t>IP</t>
  </si>
  <si>
    <t>软著、商标、专利布局、技术文档和成果归属</t>
  </si>
  <si>
    <t>融资尽调资料室VDR</t>
  </si>
  <si>
    <t>融资准备</t>
  </si>
  <si>
    <t>股权、财务、合同、IP、客户案例、研发资产、数据合规</t>
  </si>
  <si>
    <t>股权治理与或有税务评估</t>
  </si>
  <si>
    <t>风控</t>
  </si>
  <si>
    <t>法人隐名股东、代持还原、持股平台、或有税务路径评估</t>
  </si>
  <si>
    <t>应收账款缓冲</t>
  </si>
  <si>
    <t>现金流</t>
  </si>
  <si>
    <t>覆盖90-120天账期、开票回款滞后</t>
  </si>
  <si>
    <t>项目验收延迟缓冲</t>
  </si>
  <si>
    <t>覆盖验收、开票、合同节点延期</t>
  </si>
  <si>
    <t>不可预见现金流安全垫</t>
  </si>
  <si>
    <t>融资closing、关键团队稳定、必要支出缓冲</t>
  </si>
  <si>
    <t/>
  </si>
  <si>
    <t>与BP展示版一致，总额540万</t>
  </si>
  <si>
    <t>Runway与下一轮募资节奏</t>
  </si>
  <si>
    <t>阶段</t>
  </si>
  <si>
    <t>时间</t>
  </si>
  <si>
    <t>预算(万元)</t>
  </si>
  <si>
    <t>月均消耗</t>
  </si>
  <si>
    <t>核心目标</t>
  </si>
  <si>
    <t>资金纪律</t>
  </si>
  <si>
    <t>下一轮融资动作</t>
  </si>
  <si>
    <t>风险控制</t>
  </si>
  <si>
    <t>阶段一：产品与合规攻坚期</t>
  </si>
  <si>
    <t>启枢可演示；合规补课；客户访谈；ROI Baseline启动</t>
  </si>
  <si>
    <t>控制研发节奏；云服务优先；不扩张销售团队</t>
  </si>
  <si>
    <t>整理基础BP与客户清单</t>
  </si>
  <si>
    <t>避免早期过度烧钱</t>
  </si>
  <si>
    <t>阶段二：客户验证与付费转化期</t>
  </si>
  <si>
    <t>3-5家POC；2-3家付费；形成ROI报告</t>
  </si>
  <si>
    <t>费用向客户交付和付费转化倾斜</t>
  </si>
  <si>
    <t>第7-9个月启动Pre-A/战略投资人沟通</t>
  </si>
  <si>
    <t>用合同/回款/案例提高融资筹码</t>
  </si>
  <si>
    <t>阶段三：融资安全垫与回款缓冲期</t>
  </si>
  <si>
    <t>13-18个月</t>
  </si>
  <si>
    <t>覆盖账期、验收延迟、下一轮closing周期</t>
  </si>
  <si>
    <t>不做新增大规模投入，只保留关键团队与现金流</t>
  </si>
  <si>
    <t>推进TS、尽调、closing</t>
  </si>
  <si>
    <t>降低被迫融资和估值被压风险</t>
  </si>
  <si>
    <t>0-18个月</t>
  </si>
  <si>
    <t>540万形成15-18个月Runway</t>
  </si>
  <si>
    <t>先验证后扩张</t>
  </si>
  <si>
    <t>Pre-A融资准备完成</t>
  </si>
  <si>
    <t>增强谈判主动权</t>
  </si>
  <si>
    <t>融资验证指标｜540万换来的下一轮融资证据</t>
  </si>
  <si>
    <t>验证模块</t>
  </si>
  <si>
    <t>12个月目标</t>
  </si>
  <si>
    <t>15-18个月强化目标</t>
  </si>
  <si>
    <t>对应资金用途</t>
  </si>
  <si>
    <t>投资人关注点</t>
  </si>
  <si>
    <t>证据形式</t>
  </si>
  <si>
    <t>状态</t>
  </si>
  <si>
    <t>备注</t>
  </si>
  <si>
    <t>产品验证</t>
  </si>
  <si>
    <t>启枢核心模块形成可交付版本</t>
  </si>
  <si>
    <t>完成2.0版本关键能力定义</t>
  </si>
  <si>
    <t>产品与平台研发</t>
  </si>
  <si>
    <t>产品是否可用</t>
  </si>
  <si>
    <t>演示系统、部署记录、版本文档</t>
  </si>
  <si>
    <t>待更新</t>
  </si>
  <si>
    <t>核心功能优先，不追求大而全</t>
  </si>
  <si>
    <t>客户验证</t>
  </si>
  <si>
    <t>3-5家POC，2-3家付费转化</t>
  </si>
  <si>
    <t>1-2个可公开或半公开标杆案例</t>
  </si>
  <si>
    <t>标杆客户POC</t>
  </si>
  <si>
    <t>是否有真实需求</t>
  </si>
  <si>
    <t>合同、验收单、客户反馈</t>
  </si>
  <si>
    <t>重质量，不追求数量</t>
  </si>
  <si>
    <t>收入验证</t>
  </si>
  <si>
    <t>形成部署费、订阅费或联合开发收入</t>
  </si>
  <si>
    <t>形成可追踪MRR/回款数据</t>
  </si>
  <si>
    <t>商业化验证</t>
  </si>
  <si>
    <t>是否能收费</t>
  </si>
  <si>
    <t>银行流水、发票、合同、收入台账</t>
  </si>
  <si>
    <t>合同额、回款、收入分开披露</t>
  </si>
  <si>
    <t>平台验证</t>
  </si>
  <si>
    <t>Harness复用到至少2个场景</t>
  </si>
  <si>
    <t>形成可复用任务模板与工具链</t>
  </si>
  <si>
    <t>Harness系统研发</t>
  </si>
  <si>
    <t>是否有平台天花板</t>
  </si>
  <si>
    <t>项目标签、技术文档、复用矩阵</t>
  </si>
  <si>
    <t>支线只做轻量验证</t>
  </si>
  <si>
    <t>合规验证</t>
  </si>
  <si>
    <t>完成财税、股权、IP、合同基础治理</t>
  </si>
  <si>
    <t>VDR资料室可供尽调</t>
  </si>
  <si>
    <t>合规治理</t>
  </si>
  <si>
    <t>是否可尽调</t>
  </si>
  <si>
    <t>VDR清单、协议、台账</t>
  </si>
  <si>
    <t>法人隐名股东需法税评估</t>
  </si>
  <si>
    <t>融资验证</t>
  </si>
  <si>
    <t>第7-9个月启动下一轮沟通</t>
  </si>
  <si>
    <t>第13-18个月覆盖closing周期</t>
  </si>
  <si>
    <t>流动资金缓冲</t>
  </si>
  <si>
    <t>是否有谈判主动权</t>
  </si>
  <si>
    <t>BP、财务模型、客户案例、VDR</t>
  </si>
  <si>
    <t>避免资金见底被动融资</t>
  </si>
  <si>
    <t>标杆客户商业化转化漏斗</t>
  </si>
  <si>
    <t>目标下限</t>
  </si>
  <si>
    <t>目标上限</t>
  </si>
  <si>
    <t>平均目标</t>
  </si>
  <si>
    <t>阶段转化率</t>
  </si>
  <si>
    <t>关键验证</t>
  </si>
  <si>
    <t>所需证据</t>
  </si>
  <si>
    <t>重点客户接触</t>
  </si>
  <si>
    <t>-</t>
  </si>
  <si>
    <t>覆盖设计院、工程企业、全屋定制、工业空间客户</t>
  </si>
  <si>
    <t>客户名单、会议纪要</t>
  </si>
  <si>
    <t>不做大规模投放，聚焦高质量线索</t>
  </si>
  <si>
    <t>深度需求访谈</t>
  </si>
  <si>
    <t>明确痛点、预算、决策链、替代成本</t>
  </si>
  <si>
    <t>需求访谈记录、流程图</t>
  </si>
  <si>
    <t>验证付费动机</t>
  </si>
  <si>
    <t>POC / 联合测试</t>
  </si>
  <si>
    <t>启枢进入真实业务流程</t>
  </si>
  <si>
    <t>POC方案、测试记录、验收节点</t>
  </si>
  <si>
    <t>优先选择能提供数据的客户</t>
  </si>
  <si>
    <t>付费转化</t>
  </si>
  <si>
    <t>产生部署费、订阅费或联合开发合同</t>
  </si>
  <si>
    <t>合同、发票、回款</t>
  </si>
  <si>
    <t>合同额、回款、确认收入分开记录</t>
  </si>
  <si>
    <t>标杆案例沉淀</t>
  </si>
  <si>
    <t>形成ROI报告与融资案例</t>
  </si>
  <si>
    <t>价值报告、客户反馈、案例材料</t>
  </si>
  <si>
    <t>为下一轮融资提供证据</t>
  </si>
  <si>
    <t>ROI Baseline｜“1+AI”人效模型基准线测试计划</t>
  </si>
  <si>
    <t>测试项</t>
  </si>
  <si>
    <t>传统模式记录</t>
  </si>
  <si>
    <t>启枢模式记录</t>
  </si>
  <si>
    <t>核心对比指标</t>
  </si>
  <si>
    <t>样本来源</t>
  </si>
  <si>
    <t>0-6个月动作</t>
  </si>
  <si>
    <t>验收标准</t>
  </si>
  <si>
    <t>输出材料</t>
  </si>
  <si>
    <t>图纸清洗</t>
  </si>
  <si>
    <t>人工耗时、返工次数、错误数量</t>
  </si>
  <si>
    <t>AI辅助耗时、人工修正次数</t>
  </si>
  <si>
    <t>节省人时、错误率下降</t>
  </si>
  <si>
    <t>种子客户项目/团队盲测</t>
  </si>
  <si>
    <t>选取3组典型图纸盲测</t>
  </si>
  <si>
    <t>形成可复核记录</t>
  </si>
  <si>
    <t>Baseline记录表</t>
  </si>
  <si>
    <t>优先选择常见任务</t>
  </si>
  <si>
    <t>方案拆单</t>
  </si>
  <si>
    <t>人工拆单耗时、漏项数量</t>
  </si>
  <si>
    <t>AI拆单耗时、校验结果</t>
  </si>
  <si>
    <t>拆单效率、漏项率</t>
  </si>
  <si>
    <t>种子客户/全屋定制样本</t>
  </si>
  <si>
    <t>记录传统拆单全流程</t>
  </si>
  <si>
    <t>可对比、可复盘</t>
  </si>
  <si>
    <t>拆单ROI报告</t>
  </si>
  <si>
    <t>重点验证生产链路</t>
  </si>
  <si>
    <t>空间对象识别</t>
  </si>
  <si>
    <t>人工标注耗时</t>
  </si>
  <si>
    <t>AI识别耗时与准确率</t>
  </si>
  <si>
    <t>识别准确率、人工复核量</t>
  </si>
  <si>
    <t>内部样本库</t>
  </si>
  <si>
    <t>建立图纸样本库</t>
  </si>
  <si>
    <t>准确率可量化</t>
  </si>
  <si>
    <t>识别测试报告</t>
  </si>
  <si>
    <t>作为模型迭代依据</t>
  </si>
  <si>
    <t>3D画布调整</t>
  </si>
  <si>
    <t>人工建模与调整时间</t>
  </si>
  <si>
    <t>AI辅助调整时间</t>
  </si>
  <si>
    <t>交付周期缩短</t>
  </si>
  <si>
    <t>客户项目/内部测试</t>
  </si>
  <si>
    <t>记录建模与调整节点</t>
  </si>
  <si>
    <t>可复现操作流程</t>
  </si>
  <si>
    <t>3D画布演示记录</t>
  </si>
  <si>
    <t>验证产品可用性</t>
  </si>
  <si>
    <t>规则校验</t>
  </si>
  <si>
    <t>人工检查耗时、遗漏项</t>
  </si>
  <si>
    <t>AI规则校验耗时、提示项</t>
  </si>
  <si>
    <t>返工率、遗漏率</t>
  </si>
  <si>
    <t>规则库/客户样本</t>
  </si>
  <si>
    <t>整理基础规则清单</t>
  </si>
  <si>
    <t>校验结果可审计</t>
  </si>
  <si>
    <t>规则校验报告</t>
  </si>
  <si>
    <t>服务审图/交付闭环</t>
  </si>
  <si>
    <t>客户ROI样本记录模板</t>
  </si>
  <si>
    <t>项目名称</t>
  </si>
  <si>
    <t>图纸类型</t>
  </si>
  <si>
    <t>项目复杂度</t>
  </si>
  <si>
    <t>传统耗时(h)</t>
  </si>
  <si>
    <t>启枢耗时(h)</t>
  </si>
  <si>
    <t>人工复核(h)</t>
  </si>
  <si>
    <t>节省比例</t>
  </si>
  <si>
    <t>错误率变化</t>
  </si>
  <si>
    <t>客户反馈</t>
  </si>
  <si>
    <t>是否转付费</t>
  </si>
  <si>
    <t>待填</t>
  </si>
  <si>
    <t>收入确认与经营数据口径</t>
  </si>
  <si>
    <t>指标</t>
  </si>
  <si>
    <t>定义</t>
  </si>
  <si>
    <t>是否计入MRR</t>
  </si>
  <si>
    <t>是否等于现金流</t>
  </si>
  <si>
    <t>对外披露口径</t>
  </si>
  <si>
    <t>尽调风险</t>
  </si>
  <si>
    <t>签约合同额</t>
  </si>
  <si>
    <t>客户合同总金额</t>
  </si>
  <si>
    <t>否</t>
  </si>
  <si>
    <t>可披露为签约额/订单额</t>
  </si>
  <si>
    <t>不能等同收入</t>
  </si>
  <si>
    <t>用于证明销售能力</t>
  </si>
  <si>
    <t>开票金额</t>
  </si>
  <si>
    <t>已向客户开具发票金额</t>
  </si>
  <si>
    <t>可辅助说明履约节点</t>
  </si>
  <si>
    <t>不等于回款</t>
  </si>
  <si>
    <t>需与合同和回款匹配</t>
  </si>
  <si>
    <t>实际回款</t>
  </si>
  <si>
    <t>银行账户实际收到金额</t>
  </si>
  <si>
    <t>是</t>
  </si>
  <si>
    <t>现金流最硬指标</t>
  </si>
  <si>
    <t>需银行流水验证</t>
  </si>
  <si>
    <t>优先向投资人展示</t>
  </si>
  <si>
    <t>确认收入</t>
  </si>
  <si>
    <t>按履约进度或服务期间确认的收入</t>
  </si>
  <si>
    <t>部分</t>
  </si>
  <si>
    <t>遵循收入准则</t>
  </si>
  <si>
    <t>一次性费用可能需递延</t>
  </si>
  <si>
    <t>避免当月全部确认</t>
  </si>
  <si>
    <t>递延收入</t>
  </si>
  <si>
    <t>已收款但尚未履约完成的部分</t>
  </si>
  <si>
    <t>体现财务审慎</t>
  </si>
  <si>
    <t>不应包装成当期收入</t>
  </si>
  <si>
    <t>有利于续约逻辑</t>
  </si>
  <si>
    <t>MRR</t>
  </si>
  <si>
    <t>月度稳定经常性收入</t>
  </si>
  <si>
    <t>不一定</t>
  </si>
  <si>
    <t>只统计稳定订阅/持续服务</t>
  </si>
  <si>
    <t>不要混入一次性部署费</t>
  </si>
  <si>
    <t>用于SaaS估值沟通</t>
  </si>
  <si>
    <t>ARR</t>
  </si>
  <si>
    <t>MRR × 12</t>
  </si>
  <si>
    <t>年化经常性收入</t>
  </si>
  <si>
    <t>需说明是否含一次性费用</t>
  </si>
  <si>
    <t>用于下一轮融资口径</t>
  </si>
  <si>
    <t>项目标签与费用归集规则</t>
  </si>
  <si>
    <t>项目标签</t>
  </si>
  <si>
    <t>归集对象</t>
  </si>
  <si>
    <t>允许支出</t>
  </si>
  <si>
    <t>禁止/限制事项</t>
  </si>
  <si>
    <t>证据材料</t>
  </si>
  <si>
    <t>投资人解释</t>
  </si>
  <si>
    <t>优先级</t>
  </si>
  <si>
    <t>QiShu_Core</t>
  </si>
  <si>
    <t>启枢核心研发</t>
  </si>
  <si>
    <t>图纸理解、拆单、3D画布、校验、部署</t>
  </si>
  <si>
    <t>不得归集无关产品研发</t>
  </si>
  <si>
    <t>研发工时、代码提交、版本记录</t>
  </si>
  <si>
    <t>本轮主收入引擎</t>
  </si>
  <si>
    <t>最高</t>
  </si>
  <si>
    <t>Harness_Core</t>
  </si>
  <si>
    <t>Harness底层能力</t>
  </si>
  <si>
    <t>任务编排、Agent调度、工具调用、审计</t>
  </si>
  <si>
    <t>不得包装成空泛平台概念</t>
  </si>
  <si>
    <t>技术文档、复用矩阵</t>
  </si>
  <si>
    <t>平台天花板证明</t>
  </si>
  <si>
    <t>QiShu_POC</t>
  </si>
  <si>
    <t>启枢客户POC</t>
  </si>
  <si>
    <t>客户调研、部署、测试、验收、客户成功</t>
  </si>
  <si>
    <t>不得归集泛市场活动</t>
  </si>
  <si>
    <t>合同、POC记录、验收单</t>
  </si>
  <si>
    <t>Data_Knowledge</t>
  </si>
  <si>
    <t>行业数据与知识库</t>
  </si>
  <si>
    <t>规则库、样本库、工艺流程、数据治理</t>
  </si>
  <si>
    <t>不得使用未经授权客户数据</t>
  </si>
  <si>
    <t>授权文件、数据台账</t>
  </si>
  <si>
    <t>高</t>
  </si>
  <si>
    <t>Compliance_VDR</t>
  </si>
  <si>
    <t>合规与融资资料</t>
  </si>
  <si>
    <t>财税、法务、IP、股权、VDR</t>
  </si>
  <si>
    <t>不得替历史股东承担个人/法人税费</t>
  </si>
  <si>
    <t>协议、台账、评估报告</t>
  </si>
  <si>
    <t>Juling_Test</t>
  </si>
  <si>
    <t>巨灵轻量验证</t>
  </si>
  <si>
    <t>仅限Harness复用能力验证</t>
  </si>
  <si>
    <t>不得进行独立大额研发投入</t>
  </si>
  <si>
    <t>测试记录、标签账单</t>
  </si>
  <si>
    <t>泛工业验证</t>
  </si>
  <si>
    <t>低</t>
  </si>
  <si>
    <t>Nuosi_Test</t>
  </si>
  <si>
    <t>诺思轻量验证</t>
  </si>
  <si>
    <t>仅限展示/教学样板验证</t>
  </si>
  <si>
    <t>不得消耗核心预算</t>
  </si>
  <si>
    <t>测试记录</t>
  </si>
  <si>
    <t>轻量场景验证</t>
  </si>
  <si>
    <t>Fengju_Test</t>
  </si>
  <si>
    <t>蜂聚轻量验证</t>
  </si>
  <si>
    <t>仅限营销工作流验证</t>
  </si>
  <si>
    <t>不得变成单独业务线投入</t>
  </si>
  <si>
    <t>跨行业工作流验证</t>
  </si>
  <si>
    <t>资金纪律与投资人问答</t>
  </si>
  <si>
    <t>本轮资金使用纪律</t>
  </si>
  <si>
    <t>原则</t>
  </si>
  <si>
    <t>说明</t>
  </si>
  <si>
    <t>对应风险</t>
  </si>
  <si>
    <t>对投资人的信号</t>
  </si>
  <si>
    <t>写入BP</t>
  </si>
  <si>
    <t>Excel附表</t>
  </si>
  <si>
    <t>内部VDR</t>
  </si>
  <si>
    <t>先验证，后扩张</t>
  </si>
  <si>
    <t>天使轮不做全国复制，先完成3-5家标杆客户验证</t>
  </si>
  <si>
    <t>过早规模化烧钱</t>
  </si>
  <si>
    <t>阶段目标清晰</t>
  </si>
  <si>
    <t>先云服务，后自建算力</t>
  </si>
  <si>
    <t>不自建重型GPU集群，按需调用</t>
  </si>
  <si>
    <t>固定成本过高</t>
  </si>
  <si>
    <t>资金纪律强</t>
  </si>
  <si>
    <t>先POC转付费，后市场投放</t>
  </si>
  <si>
    <t>市场费用向高质量线索与转化倾斜</t>
  </si>
  <si>
    <t>CAC失控</t>
  </si>
  <si>
    <t>商业化路径清晰</t>
  </si>
  <si>
    <t>先核心场景，后多线铺开</t>
  </si>
  <si>
    <t>启枢为主收入引擎，支线轻量验证Harness复用</t>
  </si>
  <si>
    <t>战略分散</t>
  </si>
  <si>
    <t>平台叙事克制</t>
  </si>
  <si>
    <t>先合规，后融资</t>
  </si>
  <si>
    <t>股权、IP、财税、合同、VDR提前补齐</t>
  </si>
  <si>
    <t>尽调卡点</t>
  </si>
  <si>
    <t>可投性提升</t>
  </si>
  <si>
    <t>投资人高频问题</t>
  </si>
  <si>
    <t>投资人问题</t>
  </si>
  <si>
    <t>建议回答</t>
  </si>
  <si>
    <t>需要准备的证据</t>
  </si>
  <si>
    <t>对应Sheet</t>
  </si>
  <si>
    <t>540万够不够？</t>
  </si>
  <si>
    <t>够支撑12个月关键验证，并通过资金纪律形成15-18个月Runway；不承担全国复制任务。</t>
  </si>
  <si>
    <t>预算表、Runway节奏、客户漏斗</t>
  </si>
  <si>
    <t>BP展示版 / Runway</t>
  </si>
  <si>
    <t>强调阶段性目标</t>
  </si>
  <si>
    <t>为什么不按2000万规划？</t>
  </si>
  <si>
    <t>天使轮目标是验证产品、客户、收入和合规，不是全面扩张。</t>
  </si>
  <si>
    <t>里程碑表、费用纪律</t>
  </si>
  <si>
    <t>避免承诺过高</t>
  </si>
  <si>
    <t>钱会不会被支线项目分散？</t>
  </si>
  <si>
    <t>本轮资金有项目标签和费用归集规则，启枢和Harness为最高优先级。</t>
  </si>
  <si>
    <t>项目标签账单、工时记录</t>
  </si>
  <si>
    <t>非常关键</t>
  </si>
  <si>
    <t>客户为什么愿意买？</t>
  </si>
  <si>
    <t>我们会用ROI Baseline证明人时、错误率、返工率和交付周期改善。</t>
  </si>
  <si>
    <t>Baseline测试、客户案例、价值报告</t>
  </si>
  <si>
    <t>支撑客户ROI</t>
  </si>
  <si>
    <t>合规问题怎么处理？</t>
  </si>
  <si>
    <t>股权、IP、财税、合同、VDR同步推进；历史股权问题做法税评估，不使用公司融资款替历史股东承担税费。</t>
  </si>
  <si>
    <t>法律文件、税务评估、VDR清单</t>
  </si>
  <si>
    <t>避免敏感表述</t>
  </si>
  <si>
    <t>合规治理与VDR准备清单</t>
  </si>
  <si>
    <t>合规项目</t>
  </si>
  <si>
    <t>关键动作</t>
  </si>
  <si>
    <t>BP/附表/VDR边界</t>
  </si>
  <si>
    <t>规范记账、报税、研发费用归集、发票与应收账款管理</t>
  </si>
  <si>
    <t>账套、凭证、研发台账、应收台账</t>
  </si>
  <si>
    <t>附表/VDR</t>
  </si>
  <si>
    <t>创始人服务协议、IP归属、客户合同、外包协议、保密协议</t>
  </si>
  <si>
    <t>协议文本、合同模板、签署记录</t>
  </si>
  <si>
    <t>软著、商标、专利布局、代码和技术文档归属</t>
  </si>
  <si>
    <t>软著/专利/商标材料、研发资产清单</t>
  </si>
  <si>
    <t>BP简写/附表/VDR</t>
  </si>
  <si>
    <t>整理股权、财务、合同、IP、客户案例、研发资产、数据合规</t>
  </si>
  <si>
    <t>VDR目录、资料包、更新记录</t>
  </si>
  <si>
    <t>法税评估备忘录、治理方案</t>
  </si>
  <si>
    <t>内部VDR，不写BP正文</t>
  </si>
  <si>
    <t>合计75万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</si>
</sst>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[Red]\(\¥#,##0\);\-"/>
    <numFmt numFmtId="177" formatCode="#,##0;[Red]\(#,##0\);\-"/>
    <numFmt numFmtId="178" formatCode="0.0%;[Red]\(0.0%\);\-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374151"/>
      <name val="Carlito"/>
      <charset val="134"/>
    </font>
    <font>
      <b/>
      <sz val="11"/>
      <color rgb="FFFFFFFF"/>
      <name val="Carlito"/>
      <charset val="134"/>
    </font>
    <font>
      <sz val="10"/>
      <color rgb="FF000000"/>
      <name val="Carlito"/>
      <charset val="134"/>
    </font>
    <font>
      <b/>
      <sz val="10"/>
      <color rgb="FF000000"/>
      <name val="Carlito"/>
      <charset val="134"/>
    </font>
    <font>
      <sz val="10"/>
      <color rgb="FF0000FF"/>
      <name val="Carlito"/>
      <charset val="134"/>
    </font>
    <font>
      <b/>
      <sz val="10"/>
      <color rgb="FF37415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2" fillId="3" borderId="0" xfId="49" applyNumberFormat="1" applyFont="1" applyFill="1" applyBorder="1" applyAlignment="1">
      <alignment horizontal="left" vertical="top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top" wrapText="1"/>
    </xf>
    <xf numFmtId="176" fontId="4" fillId="0" borderId="0" xfId="49" applyNumberFormat="1" applyFon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vertical="top" wrapText="1"/>
    </xf>
    <xf numFmtId="176" fontId="5" fillId="4" borderId="0" xfId="49" applyNumberFormat="1" applyFont="1" applyFill="1" applyBorder="1" applyAlignment="1">
      <alignment vertical="top" wrapText="1"/>
    </xf>
    <xf numFmtId="0" fontId="0" fillId="0" borderId="0" xfId="49" applyFill="1"/>
    <xf numFmtId="0" fontId="3" fillId="5" borderId="0" xfId="49" applyNumberFormat="1" applyFont="1" applyFill="1" applyBorder="1" applyAlignment="1">
      <alignment horizontal="left" vertical="center" wrapText="1"/>
    </xf>
    <xf numFmtId="177" fontId="4" fillId="0" borderId="0" xfId="49" applyNumberFormat="1" applyFont="1" applyFill="1" applyBorder="1" applyAlignment="1">
      <alignment vertical="top" wrapText="1"/>
    </xf>
    <xf numFmtId="178" fontId="4" fillId="0" borderId="0" xfId="49" applyNumberFormat="1" applyFont="1" applyFill="1" applyBorder="1" applyAlignment="1">
      <alignment vertical="top" wrapText="1"/>
    </xf>
    <xf numFmtId="176" fontId="6" fillId="0" borderId="0" xfId="49" applyNumberFormat="1" applyFont="1" applyFill="1" applyBorder="1" applyAlignment="1">
      <alignment vertical="top" wrapText="1"/>
    </xf>
    <xf numFmtId="178" fontId="5" fillId="4" borderId="0" xfId="49" applyNumberFormat="1" applyFont="1" applyFill="1" applyBorder="1" applyAlignment="1">
      <alignment vertical="top" wrapText="1"/>
    </xf>
    <xf numFmtId="0" fontId="7" fillId="3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2" sqref="A2:H2"/>
    </sheetView>
  </sheetViews>
  <sheetFormatPr defaultColWidth="9" defaultRowHeight="16.8" outlineLevelCol="7"/>
  <cols>
    <col min="1" max="1" width="24" customWidth="1"/>
    <col min="2" max="2" width="80" customWidth="1"/>
  </cols>
  <sheetData>
    <row r="1" ht="23.2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4" t="s">
        <v>1</v>
      </c>
      <c r="B4" s="4" t="s">
        <v>2</v>
      </c>
    </row>
    <row r="5" spans="1:8">
      <c r="A5" s="14" t="s">
        <v>3</v>
      </c>
      <c r="B5" s="4" t="s">
        <v>4</v>
      </c>
    </row>
    <row r="6" spans="1:8">
      <c r="A6" s="14" t="s">
        <v>5</v>
      </c>
      <c r="B6" s="4" t="s">
        <v>6</v>
      </c>
    </row>
    <row r="7" spans="1:8">
      <c r="A7" s="14" t="s">
        <v>7</v>
      </c>
      <c r="B7" s="4" t="s">
        <v>8</v>
      </c>
    </row>
    <row r="9" spans="1:8">
      <c r="A9" s="9" t="s">
        <v>9</v>
      </c>
      <c r="B9" s="9"/>
      <c r="C9" s="9"/>
      <c r="D9" s="9"/>
      <c r="E9" s="9"/>
      <c r="F9" s="9"/>
      <c r="G9" s="9"/>
      <c r="H9" s="9"/>
    </row>
    <row r="10" ht="17" spans="1:8">
      <c r="A10" s="3" t="s">
        <v>10</v>
      </c>
      <c r="B10" s="3" t="s">
        <v>11</v>
      </c>
    </row>
    <row r="11" spans="1:8">
      <c r="A11" s="4" t="s">
        <v>12</v>
      </c>
      <c r="B11" s="4" t="s">
        <v>13</v>
      </c>
    </row>
    <row r="12" spans="1:8">
      <c r="A12" s="4" t="s">
        <v>14</v>
      </c>
      <c r="B12" s="4" t="s">
        <v>15</v>
      </c>
    </row>
    <row r="13" spans="1:8">
      <c r="A13" s="4" t="s">
        <v>16</v>
      </c>
      <c r="B13" s="4" t="s">
        <v>17</v>
      </c>
    </row>
    <row r="14" spans="1:8">
      <c r="A14" s="4" t="s">
        <v>18</v>
      </c>
      <c r="B14" s="4" t="s">
        <v>19</v>
      </c>
    </row>
    <row r="15" spans="1:8">
      <c r="A15" s="4" t="s">
        <v>20</v>
      </c>
      <c r="B15" s="4" t="s">
        <v>21</v>
      </c>
    </row>
    <row r="16" spans="1:8">
      <c r="A16" s="4" t="s">
        <v>22</v>
      </c>
      <c r="B16" s="4" t="s">
        <v>23</v>
      </c>
    </row>
    <row r="17" spans="1:2">
      <c r="A17" s="4" t="s">
        <v>24</v>
      </c>
      <c r="B17" s="4" t="s">
        <v>25</v>
      </c>
    </row>
    <row r="18" spans="1:2">
      <c r="A18" s="4" t="s">
        <v>26</v>
      </c>
      <c r="B18" s="4" t="s">
        <v>27</v>
      </c>
    </row>
    <row r="19" spans="1:2">
      <c r="A19" s="4" t="s">
        <v>28</v>
      </c>
      <c r="B19" s="4" t="s">
        <v>29</v>
      </c>
    </row>
    <row r="20" spans="1:2">
      <c r="A20" s="4" t="s">
        <v>30</v>
      </c>
      <c r="B20" s="4" t="s">
        <v>31</v>
      </c>
    </row>
    <row r="21" spans="1:2">
      <c r="A21" s="4" t="s">
        <v>32</v>
      </c>
      <c r="B21" s="4" t="s">
        <v>33</v>
      </c>
    </row>
  </sheetData>
  <mergeCells count="3">
    <mergeCell ref="A1:H1"/>
    <mergeCell ref="A2:H2"/>
    <mergeCell ref="A9:H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2" sqref="A2:H2"/>
    </sheetView>
  </sheetViews>
  <sheetFormatPr defaultColWidth="9" defaultRowHeight="16.8" outlineLevelCol="7"/>
  <cols>
    <col min="1" max="1" width="24" customWidth="1"/>
    <col min="2" max="2" width="12" customWidth="1"/>
    <col min="3" max="3" width="10" customWidth="1"/>
    <col min="4" max="4" width="12" customWidth="1"/>
    <col min="5" max="5" width="18.1397058823529" customWidth="1"/>
    <col min="6" max="6" width="16" customWidth="1"/>
    <col min="7" max="7" width="42" customWidth="1"/>
    <col min="8" max="8" width="26" customWidth="1"/>
  </cols>
  <sheetData>
    <row r="1" ht="23.2" spans="1:8">
      <c r="A1" s="1" t="s">
        <v>34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4" ht="17" spans="1:8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</row>
    <row r="5" spans="1:8">
      <c r="A5" s="5">
        <v>540</v>
      </c>
      <c r="B5" s="4" t="s">
        <v>40</v>
      </c>
      <c r="C5" s="4" t="s">
        <v>41</v>
      </c>
      <c r="D5" s="4" t="s">
        <v>42</v>
      </c>
      <c r="E5" s="4" t="s">
        <v>43</v>
      </c>
    </row>
    <row r="10" ht="17" spans="1:8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</row>
    <row r="11" spans="1:8">
      <c r="A11" s="4" t="s">
        <v>52</v>
      </c>
      <c r="B11" s="12">
        <v>190</v>
      </c>
      <c r="C11" s="11">
        <f t="shared" ref="C11:C18" si="0">B11/$B$18</f>
        <v>0.351851851851852</v>
      </c>
      <c r="D11" s="12">
        <v>95</v>
      </c>
      <c r="E11" s="12">
        <v>70</v>
      </c>
      <c r="F11" s="12">
        <v>25</v>
      </c>
      <c r="G11" s="4" t="s">
        <v>53</v>
      </c>
      <c r="H11" s="4" t="s">
        <v>54</v>
      </c>
    </row>
    <row r="12" spans="1:8">
      <c r="A12" s="4" t="s">
        <v>55</v>
      </c>
      <c r="B12" s="12">
        <v>55</v>
      </c>
      <c r="C12" s="11">
        <f t="shared" si="0"/>
        <v>0.101851851851852</v>
      </c>
      <c r="D12" s="12">
        <v>18</v>
      </c>
      <c r="E12" s="12">
        <v>22</v>
      </c>
      <c r="F12" s="12">
        <v>15</v>
      </c>
      <c r="G12" s="4" t="s">
        <v>56</v>
      </c>
      <c r="H12" s="4" t="s">
        <v>57</v>
      </c>
    </row>
    <row r="13" spans="1:8">
      <c r="A13" s="4" t="s">
        <v>58</v>
      </c>
      <c r="B13" s="12">
        <v>45</v>
      </c>
      <c r="C13" s="11">
        <f t="shared" si="0"/>
        <v>0.0833333333333333</v>
      </c>
      <c r="D13" s="12">
        <v>25</v>
      </c>
      <c r="E13" s="12">
        <v>12</v>
      </c>
      <c r="F13" s="12">
        <v>8</v>
      </c>
      <c r="G13" s="4" t="s">
        <v>59</v>
      </c>
      <c r="H13" s="4" t="s">
        <v>60</v>
      </c>
    </row>
    <row r="14" spans="1:8">
      <c r="A14" s="4" t="s">
        <v>61</v>
      </c>
      <c r="B14" s="12">
        <v>95</v>
      </c>
      <c r="C14" s="11">
        <f t="shared" si="0"/>
        <v>0.175925925925926</v>
      </c>
      <c r="D14" s="12">
        <v>28</v>
      </c>
      <c r="E14" s="12">
        <v>47</v>
      </c>
      <c r="F14" s="12">
        <v>20</v>
      </c>
      <c r="G14" s="4" t="s">
        <v>62</v>
      </c>
      <c r="H14" s="4" t="s">
        <v>63</v>
      </c>
    </row>
    <row r="15" spans="1:8">
      <c r="A15" s="4" t="s">
        <v>64</v>
      </c>
      <c r="B15" s="12">
        <v>40</v>
      </c>
      <c r="C15" s="11">
        <f t="shared" si="0"/>
        <v>0.0740740740740741</v>
      </c>
      <c r="D15" s="12">
        <v>8</v>
      </c>
      <c r="E15" s="12">
        <v>20</v>
      </c>
      <c r="F15" s="12">
        <v>12</v>
      </c>
      <c r="G15" s="4" t="s">
        <v>65</v>
      </c>
      <c r="H15" s="4" t="s">
        <v>66</v>
      </c>
    </row>
    <row r="16" spans="1:8">
      <c r="A16" s="4" t="s">
        <v>67</v>
      </c>
      <c r="B16" s="12">
        <v>75</v>
      </c>
      <c r="C16" s="11">
        <f t="shared" si="0"/>
        <v>0.138888888888889</v>
      </c>
      <c r="D16" s="12">
        <v>42</v>
      </c>
      <c r="E16" s="12">
        <v>20</v>
      </c>
      <c r="F16" s="12">
        <v>13</v>
      </c>
      <c r="G16" s="4" t="s">
        <v>68</v>
      </c>
      <c r="H16" s="4" t="s">
        <v>69</v>
      </c>
    </row>
    <row r="17" spans="1:8">
      <c r="A17" s="4" t="s">
        <v>70</v>
      </c>
      <c r="B17" s="12">
        <v>40</v>
      </c>
      <c r="C17" s="11">
        <f t="shared" si="0"/>
        <v>0.0740740740740741</v>
      </c>
      <c r="D17" s="12">
        <v>4</v>
      </c>
      <c r="E17" s="12">
        <v>9</v>
      </c>
      <c r="F17" s="12">
        <v>27</v>
      </c>
      <c r="G17" s="4" t="s">
        <v>71</v>
      </c>
      <c r="H17" s="4" t="s">
        <v>72</v>
      </c>
    </row>
    <row r="18" ht="31" spans="1:8">
      <c r="A18" s="6" t="s">
        <v>73</v>
      </c>
      <c r="B18" s="7">
        <f>SUM(B11:B17)</f>
        <v>540</v>
      </c>
      <c r="C18" s="13">
        <f t="shared" si="0"/>
        <v>1</v>
      </c>
      <c r="D18" s="7">
        <f>SUM(D11:D17)</f>
        <v>220</v>
      </c>
      <c r="E18" s="7">
        <f>SUM(E11:E17)</f>
        <v>200</v>
      </c>
      <c r="F18" s="7">
        <f>SUM(F11:F17)</f>
        <v>120</v>
      </c>
      <c r="G18" s="6" t="s">
        <v>74</v>
      </c>
      <c r="H18" s="6" t="s">
        <v>75</v>
      </c>
    </row>
    <row r="20" spans="1:8">
      <c r="A20" s="8"/>
      <c r="B20" s="8"/>
      <c r="C20" s="8"/>
      <c r="D20" s="8"/>
      <c r="E20" s="8"/>
      <c r="F20" s="8"/>
      <c r="G20" s="8"/>
      <c r="H20" s="8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</sheetData>
  <mergeCells count="4">
    <mergeCell ref="A1:H1"/>
    <mergeCell ref="A2:H2"/>
    <mergeCell ref="A20:H20"/>
    <mergeCell ref="A21:H2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2" sqref="A2:I2"/>
    </sheetView>
  </sheetViews>
  <sheetFormatPr defaultColWidth="9" defaultRowHeight="16.8"/>
  <cols>
    <col min="1" max="1" width="24" customWidth="1"/>
    <col min="2" max="2" width="28" customWidth="1"/>
    <col min="3" max="3" width="12" customWidth="1"/>
    <col min="4" max="4" width="10" customWidth="1"/>
    <col min="5" max="6" width="12" customWidth="1"/>
    <col min="7" max="7" width="16" customWidth="1"/>
    <col min="8" max="8" width="14" customWidth="1"/>
    <col min="9" max="9" width="58" customWidth="1"/>
  </cols>
  <sheetData>
    <row r="1" ht="23.2" spans="1:9">
      <c r="A1" s="1" t="s">
        <v>76</v>
      </c>
      <c r="B1" s="1"/>
      <c r="C1" s="1"/>
      <c r="D1" s="1"/>
      <c r="E1" s="1"/>
      <c r="F1" s="1"/>
      <c r="G1" s="1"/>
      <c r="H1" s="1"/>
      <c r="I1" s="1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4" ht="17" spans="1:9">
      <c r="A4" s="3" t="s">
        <v>77</v>
      </c>
      <c r="B4" s="3" t="s">
        <v>78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79</v>
      </c>
      <c r="I4" s="3" t="s">
        <v>80</v>
      </c>
    </row>
    <row r="5" spans="1:9">
      <c r="A5" s="4" t="s">
        <v>52</v>
      </c>
      <c r="B5" s="4" t="s">
        <v>81</v>
      </c>
      <c r="C5" s="12">
        <v>95</v>
      </c>
      <c r="D5" s="11">
        <f t="shared" ref="D5:D31" si="0">C5/$C$31</f>
        <v>0.175925925925926</v>
      </c>
      <c r="E5" s="12">
        <v>50</v>
      </c>
      <c r="F5" s="12">
        <v>35</v>
      </c>
      <c r="G5" s="12">
        <v>10</v>
      </c>
      <c r="H5" s="4" t="s">
        <v>82</v>
      </c>
      <c r="I5" s="4" t="s">
        <v>83</v>
      </c>
    </row>
    <row r="6" spans="1:9">
      <c r="A6" s="4" t="s">
        <v>52</v>
      </c>
      <c r="B6" s="4" t="s">
        <v>84</v>
      </c>
      <c r="C6" s="12">
        <v>55</v>
      </c>
      <c r="D6" s="11">
        <f t="shared" si="0"/>
        <v>0.101851851851852</v>
      </c>
      <c r="E6" s="12">
        <v>25</v>
      </c>
      <c r="F6" s="12">
        <v>22</v>
      </c>
      <c r="G6" s="12">
        <v>8</v>
      </c>
      <c r="H6" s="4" t="s">
        <v>85</v>
      </c>
      <c r="I6" s="4" t="s">
        <v>86</v>
      </c>
    </row>
    <row r="7" spans="1:9">
      <c r="A7" s="4" t="s">
        <v>52</v>
      </c>
      <c r="B7" s="4" t="s">
        <v>87</v>
      </c>
      <c r="C7" s="12">
        <v>30</v>
      </c>
      <c r="D7" s="11">
        <f t="shared" si="0"/>
        <v>0.0555555555555556</v>
      </c>
      <c r="E7" s="12">
        <v>15</v>
      </c>
      <c r="F7" s="12">
        <v>10</v>
      </c>
      <c r="G7" s="12">
        <v>5</v>
      </c>
      <c r="H7" s="4" t="s">
        <v>88</v>
      </c>
      <c r="I7" s="4" t="s">
        <v>89</v>
      </c>
    </row>
    <row r="8" spans="1:9">
      <c r="A8" s="4" t="s">
        <v>52</v>
      </c>
      <c r="B8" s="4" t="s">
        <v>90</v>
      </c>
      <c r="C8" s="12">
        <v>10</v>
      </c>
      <c r="D8" s="11">
        <f t="shared" si="0"/>
        <v>0.0185185185185185</v>
      </c>
      <c r="E8" s="12">
        <v>5</v>
      </c>
      <c r="F8" s="12">
        <v>3</v>
      </c>
      <c r="G8" s="12">
        <v>2</v>
      </c>
      <c r="H8" s="4" t="s">
        <v>91</v>
      </c>
      <c r="I8" s="4" t="s">
        <v>92</v>
      </c>
    </row>
    <row r="9" spans="1:9">
      <c r="A9" s="4" t="s">
        <v>55</v>
      </c>
      <c r="B9" s="4" t="s">
        <v>93</v>
      </c>
      <c r="C9" s="12">
        <v>30</v>
      </c>
      <c r="D9" s="11">
        <f t="shared" si="0"/>
        <v>0.0555555555555556</v>
      </c>
      <c r="E9" s="12">
        <v>10</v>
      </c>
      <c r="F9" s="12">
        <v>12</v>
      </c>
      <c r="G9" s="12">
        <v>8</v>
      </c>
      <c r="H9" s="4" t="s">
        <v>94</v>
      </c>
      <c r="I9" s="4" t="s">
        <v>95</v>
      </c>
    </row>
    <row r="10" spans="1:9">
      <c r="A10" s="4" t="s">
        <v>55</v>
      </c>
      <c r="B10" s="4" t="s">
        <v>96</v>
      </c>
      <c r="C10" s="12">
        <v>15</v>
      </c>
      <c r="D10" s="11">
        <f t="shared" si="0"/>
        <v>0.0277777777777778</v>
      </c>
      <c r="E10" s="12">
        <v>5</v>
      </c>
      <c r="F10" s="12">
        <v>6</v>
      </c>
      <c r="G10" s="12">
        <v>4</v>
      </c>
      <c r="H10" s="4" t="s">
        <v>97</v>
      </c>
      <c r="I10" s="4" t="s">
        <v>98</v>
      </c>
    </row>
    <row r="11" spans="1:9">
      <c r="A11" s="4" t="s">
        <v>55</v>
      </c>
      <c r="B11" s="4" t="s">
        <v>99</v>
      </c>
      <c r="C11" s="12">
        <v>10</v>
      </c>
      <c r="D11" s="11">
        <f t="shared" si="0"/>
        <v>0.0185185185185185</v>
      </c>
      <c r="E11" s="12">
        <v>3</v>
      </c>
      <c r="F11" s="12">
        <v>4</v>
      </c>
      <c r="G11" s="12">
        <v>3</v>
      </c>
      <c r="H11" s="4" t="s">
        <v>100</v>
      </c>
      <c r="I11" s="4" t="s">
        <v>101</v>
      </c>
    </row>
    <row r="12" spans="1:9">
      <c r="A12" s="4" t="s">
        <v>58</v>
      </c>
      <c r="B12" s="4" t="s">
        <v>102</v>
      </c>
      <c r="C12" s="12">
        <v>18</v>
      </c>
      <c r="D12" s="11">
        <f t="shared" si="0"/>
        <v>0.0333333333333333</v>
      </c>
      <c r="E12" s="12">
        <v>10</v>
      </c>
      <c r="F12" s="12">
        <v>5</v>
      </c>
      <c r="G12" s="12">
        <v>3</v>
      </c>
      <c r="H12" s="4" t="s">
        <v>103</v>
      </c>
      <c r="I12" s="4" t="s">
        <v>104</v>
      </c>
    </row>
    <row r="13" spans="1:9">
      <c r="A13" s="4" t="s">
        <v>58</v>
      </c>
      <c r="B13" s="4" t="s">
        <v>105</v>
      </c>
      <c r="C13" s="12">
        <v>15</v>
      </c>
      <c r="D13" s="11">
        <f t="shared" si="0"/>
        <v>0.0277777777777778</v>
      </c>
      <c r="E13" s="12">
        <v>8</v>
      </c>
      <c r="F13" s="12">
        <v>4</v>
      </c>
      <c r="G13" s="12">
        <v>3</v>
      </c>
      <c r="H13" s="4" t="s">
        <v>103</v>
      </c>
      <c r="I13" s="4" t="s">
        <v>106</v>
      </c>
    </row>
    <row r="14" spans="1:9">
      <c r="A14" s="4" t="s">
        <v>58</v>
      </c>
      <c r="B14" s="4" t="s">
        <v>107</v>
      </c>
      <c r="C14" s="12">
        <v>8</v>
      </c>
      <c r="D14" s="11">
        <f t="shared" si="0"/>
        <v>0.0148148148148148</v>
      </c>
      <c r="E14" s="12">
        <v>5</v>
      </c>
      <c r="F14" s="12">
        <v>2</v>
      </c>
      <c r="G14" s="12">
        <v>1</v>
      </c>
      <c r="H14" s="4" t="s">
        <v>108</v>
      </c>
      <c r="I14" s="4" t="s">
        <v>109</v>
      </c>
    </row>
    <row r="15" spans="1:9">
      <c r="A15" s="4" t="s">
        <v>58</v>
      </c>
      <c r="B15" s="4" t="s">
        <v>110</v>
      </c>
      <c r="C15" s="12">
        <v>4</v>
      </c>
      <c r="D15" s="11">
        <f t="shared" si="0"/>
        <v>0.00740740740740741</v>
      </c>
      <c r="E15" s="12">
        <v>2</v>
      </c>
      <c r="F15" s="12">
        <v>1</v>
      </c>
      <c r="G15" s="12">
        <v>1</v>
      </c>
      <c r="H15" s="4" t="s">
        <v>111</v>
      </c>
      <c r="I15" s="4" t="s">
        <v>112</v>
      </c>
    </row>
    <row r="16" spans="1:9">
      <c r="A16" s="4" t="s">
        <v>61</v>
      </c>
      <c r="B16" s="4" t="s">
        <v>113</v>
      </c>
      <c r="C16" s="12">
        <v>45</v>
      </c>
      <c r="D16" s="11">
        <f t="shared" si="0"/>
        <v>0.0833333333333333</v>
      </c>
      <c r="E16" s="12">
        <v>15</v>
      </c>
      <c r="F16" s="12">
        <v>22</v>
      </c>
      <c r="G16" s="12">
        <v>8</v>
      </c>
      <c r="H16" s="4" t="s">
        <v>114</v>
      </c>
      <c r="I16" s="4" t="s">
        <v>115</v>
      </c>
    </row>
    <row r="17" spans="1:9">
      <c r="A17" s="4" t="s">
        <v>61</v>
      </c>
      <c r="B17" s="4" t="s">
        <v>116</v>
      </c>
      <c r="C17" s="12">
        <v>30</v>
      </c>
      <c r="D17" s="11">
        <f t="shared" si="0"/>
        <v>0.0555555555555556</v>
      </c>
      <c r="E17" s="12">
        <v>8</v>
      </c>
      <c r="F17" s="12">
        <v>17</v>
      </c>
      <c r="G17" s="12">
        <v>5</v>
      </c>
      <c r="H17" s="4" t="s">
        <v>117</v>
      </c>
      <c r="I17" s="4" t="s">
        <v>118</v>
      </c>
    </row>
    <row r="18" spans="1:9">
      <c r="A18" s="4" t="s">
        <v>61</v>
      </c>
      <c r="B18" s="4" t="s">
        <v>119</v>
      </c>
      <c r="C18" s="12">
        <v>20</v>
      </c>
      <c r="D18" s="11">
        <f t="shared" si="0"/>
        <v>0.037037037037037</v>
      </c>
      <c r="E18" s="12">
        <v>5</v>
      </c>
      <c r="F18" s="12">
        <v>8</v>
      </c>
      <c r="G18" s="12">
        <v>7</v>
      </c>
      <c r="H18" s="4" t="s">
        <v>120</v>
      </c>
      <c r="I18" s="4" t="s">
        <v>121</v>
      </c>
    </row>
    <row r="19" spans="1:9">
      <c r="A19" s="4" t="s">
        <v>64</v>
      </c>
      <c r="B19" s="4" t="s">
        <v>122</v>
      </c>
      <c r="C19" s="12">
        <v>15</v>
      </c>
      <c r="D19" s="11">
        <f t="shared" si="0"/>
        <v>0.0277777777777778</v>
      </c>
      <c r="E19" s="12">
        <v>3</v>
      </c>
      <c r="F19" s="12">
        <v>8</v>
      </c>
      <c r="G19" s="12">
        <v>4</v>
      </c>
      <c r="H19" s="4" t="s">
        <v>123</v>
      </c>
      <c r="I19" s="4" t="s">
        <v>124</v>
      </c>
    </row>
    <row r="20" spans="1:9">
      <c r="A20" s="4" t="s">
        <v>64</v>
      </c>
      <c r="B20" s="4" t="s">
        <v>125</v>
      </c>
      <c r="C20" s="12">
        <v>12</v>
      </c>
      <c r="D20" s="11">
        <f t="shared" si="0"/>
        <v>0.0222222222222222</v>
      </c>
      <c r="E20" s="12">
        <v>2</v>
      </c>
      <c r="F20" s="12">
        <v>6</v>
      </c>
      <c r="G20" s="12">
        <v>4</v>
      </c>
      <c r="H20" s="4" t="s">
        <v>123</v>
      </c>
      <c r="I20" s="4" t="s">
        <v>126</v>
      </c>
    </row>
    <row r="21" spans="1:9">
      <c r="A21" s="4" t="s">
        <v>64</v>
      </c>
      <c r="B21" s="4" t="s">
        <v>127</v>
      </c>
      <c r="C21" s="12">
        <v>8</v>
      </c>
      <c r="D21" s="11">
        <f t="shared" si="0"/>
        <v>0.0148148148148148</v>
      </c>
      <c r="E21" s="12">
        <v>2</v>
      </c>
      <c r="F21" s="12">
        <v>4</v>
      </c>
      <c r="G21" s="12">
        <v>2</v>
      </c>
      <c r="H21" s="4" t="s">
        <v>128</v>
      </c>
      <c r="I21" s="4" t="s">
        <v>129</v>
      </c>
    </row>
    <row r="22" spans="1:9">
      <c r="A22" s="4" t="s">
        <v>64</v>
      </c>
      <c r="B22" s="4" t="s">
        <v>130</v>
      </c>
      <c r="C22" s="12">
        <v>5</v>
      </c>
      <c r="D22" s="11">
        <f t="shared" si="0"/>
        <v>0.00925925925925926</v>
      </c>
      <c r="E22" s="12">
        <v>1</v>
      </c>
      <c r="F22" s="12">
        <v>2</v>
      </c>
      <c r="G22" s="12">
        <v>2</v>
      </c>
      <c r="H22" s="4" t="s">
        <v>131</v>
      </c>
      <c r="I22" s="4" t="s">
        <v>132</v>
      </c>
    </row>
    <row r="23" spans="1:9">
      <c r="A23" s="4" t="s">
        <v>67</v>
      </c>
      <c r="B23" s="4" t="s">
        <v>133</v>
      </c>
      <c r="C23" s="12">
        <v>16</v>
      </c>
      <c r="D23" s="11">
        <f t="shared" si="0"/>
        <v>0.0296296296296296</v>
      </c>
      <c r="E23" s="12">
        <v>10</v>
      </c>
      <c r="F23" s="12">
        <v>4</v>
      </c>
      <c r="G23" s="12">
        <v>2</v>
      </c>
      <c r="H23" s="4" t="s">
        <v>134</v>
      </c>
      <c r="I23" s="4" t="s">
        <v>135</v>
      </c>
    </row>
    <row r="24" spans="1:9">
      <c r="A24" s="4" t="s">
        <v>67</v>
      </c>
      <c r="B24" s="4" t="s">
        <v>136</v>
      </c>
      <c r="C24" s="12">
        <v>16</v>
      </c>
      <c r="D24" s="11">
        <f t="shared" si="0"/>
        <v>0.0296296296296296</v>
      </c>
      <c r="E24" s="12">
        <v>12</v>
      </c>
      <c r="F24" s="12">
        <v>3</v>
      </c>
      <c r="G24" s="12">
        <v>1</v>
      </c>
      <c r="H24" s="4" t="s">
        <v>134</v>
      </c>
      <c r="I24" s="4" t="s">
        <v>137</v>
      </c>
    </row>
    <row r="25" spans="1:9">
      <c r="A25" s="4" t="s">
        <v>67</v>
      </c>
      <c r="B25" s="4" t="s">
        <v>138</v>
      </c>
      <c r="C25" s="12">
        <v>18</v>
      </c>
      <c r="D25" s="11">
        <f t="shared" si="0"/>
        <v>0.0333333333333333</v>
      </c>
      <c r="E25" s="12">
        <v>10</v>
      </c>
      <c r="F25" s="12">
        <v>5</v>
      </c>
      <c r="G25" s="12">
        <v>3</v>
      </c>
      <c r="H25" s="4" t="s">
        <v>139</v>
      </c>
      <c r="I25" s="4" t="s">
        <v>140</v>
      </c>
    </row>
    <row r="26" spans="1:9">
      <c r="A26" s="4" t="s">
        <v>67</v>
      </c>
      <c r="B26" s="4" t="s">
        <v>141</v>
      </c>
      <c r="C26" s="12">
        <v>13</v>
      </c>
      <c r="D26" s="11">
        <f t="shared" si="0"/>
        <v>0.0240740740740741</v>
      </c>
      <c r="E26" s="12">
        <v>7</v>
      </c>
      <c r="F26" s="12">
        <v>4</v>
      </c>
      <c r="G26" s="12">
        <v>2</v>
      </c>
      <c r="H26" s="4" t="s">
        <v>142</v>
      </c>
      <c r="I26" s="4" t="s">
        <v>143</v>
      </c>
    </row>
    <row r="27" spans="1:9">
      <c r="A27" s="4" t="s">
        <v>67</v>
      </c>
      <c r="B27" s="4" t="s">
        <v>144</v>
      </c>
      <c r="C27" s="12">
        <v>12</v>
      </c>
      <c r="D27" s="11">
        <f t="shared" si="0"/>
        <v>0.0222222222222222</v>
      </c>
      <c r="E27" s="12">
        <v>3</v>
      </c>
      <c r="F27" s="12">
        <v>4</v>
      </c>
      <c r="G27" s="12">
        <v>5</v>
      </c>
      <c r="H27" s="4" t="s">
        <v>145</v>
      </c>
      <c r="I27" s="4" t="s">
        <v>146</v>
      </c>
    </row>
    <row r="28" spans="1:9">
      <c r="A28" s="4" t="s">
        <v>70</v>
      </c>
      <c r="B28" s="4" t="s">
        <v>147</v>
      </c>
      <c r="C28" s="12">
        <v>20</v>
      </c>
      <c r="D28" s="11">
        <f t="shared" si="0"/>
        <v>0.037037037037037</v>
      </c>
      <c r="E28" s="12">
        <v>0</v>
      </c>
      <c r="F28" s="12">
        <v>3</v>
      </c>
      <c r="G28" s="12">
        <v>17</v>
      </c>
      <c r="H28" s="4" t="s">
        <v>148</v>
      </c>
      <c r="I28" s="4" t="s">
        <v>149</v>
      </c>
    </row>
    <row r="29" spans="1:9">
      <c r="A29" s="4" t="s">
        <v>70</v>
      </c>
      <c r="B29" s="4" t="s">
        <v>150</v>
      </c>
      <c r="C29" s="12">
        <v>10</v>
      </c>
      <c r="D29" s="11">
        <f t="shared" si="0"/>
        <v>0.0185185185185185</v>
      </c>
      <c r="E29" s="12">
        <v>2</v>
      </c>
      <c r="F29" s="12">
        <v>3</v>
      </c>
      <c r="G29" s="12">
        <v>5</v>
      </c>
      <c r="H29" s="4" t="s">
        <v>148</v>
      </c>
      <c r="I29" s="4" t="s">
        <v>151</v>
      </c>
    </row>
    <row r="30" spans="1:9">
      <c r="A30" s="4" t="s">
        <v>70</v>
      </c>
      <c r="B30" s="4" t="s">
        <v>152</v>
      </c>
      <c r="C30" s="12">
        <v>10</v>
      </c>
      <c r="D30" s="11">
        <f t="shared" si="0"/>
        <v>0.0185185185185185</v>
      </c>
      <c r="E30" s="12">
        <v>2</v>
      </c>
      <c r="F30" s="12">
        <v>3</v>
      </c>
      <c r="G30" s="12">
        <v>5</v>
      </c>
      <c r="H30" s="4" t="s">
        <v>148</v>
      </c>
      <c r="I30" s="4" t="s">
        <v>153</v>
      </c>
    </row>
    <row r="31" spans="1:9">
      <c r="A31" s="6" t="s">
        <v>73</v>
      </c>
      <c r="B31" s="6" t="s">
        <v>154</v>
      </c>
      <c r="C31" s="7">
        <f>SUM(C5:C30)</f>
        <v>540</v>
      </c>
      <c r="D31" s="13">
        <f t="shared" si="0"/>
        <v>1</v>
      </c>
      <c r="E31" s="7">
        <f>SUM(E5:E30)</f>
        <v>220</v>
      </c>
      <c r="F31" s="7">
        <f>SUM(F5:F30)</f>
        <v>200</v>
      </c>
      <c r="G31" s="7">
        <f>SUM(G5:G30)</f>
        <v>120</v>
      </c>
      <c r="H31" s="6" t="s">
        <v>154</v>
      </c>
      <c r="I31" s="6" t="s">
        <v>155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2" sqref="A2:H2"/>
    </sheetView>
  </sheetViews>
  <sheetFormatPr defaultColWidth="9" defaultRowHeight="16.8" outlineLevelCol="7"/>
  <cols>
    <col min="1" max="1" width="26" customWidth="1"/>
    <col min="2" max="2" width="14" customWidth="1"/>
    <col min="3" max="4" width="12" customWidth="1"/>
    <col min="5" max="5" width="42" customWidth="1"/>
    <col min="6" max="7" width="36" customWidth="1"/>
    <col min="8" max="8" width="34" customWidth="1"/>
  </cols>
  <sheetData>
    <row r="1" ht="23.2" spans="1:8">
      <c r="A1" s="1" t="s">
        <v>156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4" ht="17" spans="1:8">
      <c r="A4" s="3" t="s">
        <v>157</v>
      </c>
      <c r="B4" s="3" t="s">
        <v>158</v>
      </c>
      <c r="C4" s="3" t="s">
        <v>159</v>
      </c>
      <c r="D4" s="3" t="s">
        <v>160</v>
      </c>
      <c r="E4" s="3" t="s">
        <v>161</v>
      </c>
      <c r="F4" s="3" t="s">
        <v>162</v>
      </c>
      <c r="G4" s="3" t="s">
        <v>163</v>
      </c>
      <c r="H4" s="3" t="s">
        <v>164</v>
      </c>
    </row>
    <row r="5" spans="1:8">
      <c r="A5" s="4" t="s">
        <v>165</v>
      </c>
      <c r="B5" s="4" t="s">
        <v>47</v>
      </c>
      <c r="C5" s="12">
        <v>220</v>
      </c>
      <c r="D5" s="5">
        <f>C5/6</f>
        <v>36.6666666666667</v>
      </c>
      <c r="E5" s="4" t="s">
        <v>166</v>
      </c>
      <c r="F5" s="4" t="s">
        <v>167</v>
      </c>
      <c r="G5" s="4" t="s">
        <v>168</v>
      </c>
      <c r="H5" s="4" t="s">
        <v>169</v>
      </c>
    </row>
    <row r="6" spans="1:8">
      <c r="A6" s="4" t="s">
        <v>170</v>
      </c>
      <c r="B6" s="4" t="s">
        <v>48</v>
      </c>
      <c r="C6" s="12">
        <v>200</v>
      </c>
      <c r="D6" s="5">
        <f>C6/6</f>
        <v>33.3333333333333</v>
      </c>
      <c r="E6" s="4" t="s">
        <v>171</v>
      </c>
      <c r="F6" s="4" t="s">
        <v>172</v>
      </c>
      <c r="G6" s="4" t="s">
        <v>173</v>
      </c>
      <c r="H6" s="4" t="s">
        <v>174</v>
      </c>
    </row>
    <row r="7" spans="1:8">
      <c r="A7" s="4" t="s">
        <v>175</v>
      </c>
      <c r="B7" s="4" t="s">
        <v>176</v>
      </c>
      <c r="C7" s="12">
        <v>120</v>
      </c>
      <c r="D7" s="5">
        <f>C7/6</f>
        <v>20</v>
      </c>
      <c r="E7" s="4" t="s">
        <v>177</v>
      </c>
      <c r="F7" s="4" t="s">
        <v>178</v>
      </c>
      <c r="G7" s="4" t="s">
        <v>179</v>
      </c>
      <c r="H7" s="4" t="s">
        <v>180</v>
      </c>
    </row>
    <row r="8" spans="1:8">
      <c r="A8" s="6" t="s">
        <v>73</v>
      </c>
      <c r="B8" s="6" t="s">
        <v>181</v>
      </c>
      <c r="C8" s="7">
        <f>SUM(C5:C7)</f>
        <v>540</v>
      </c>
      <c r="D8" s="7">
        <f>C8/18</f>
        <v>30</v>
      </c>
      <c r="E8" s="6" t="s">
        <v>182</v>
      </c>
      <c r="F8" s="6" t="s">
        <v>183</v>
      </c>
      <c r="G8" s="6" t="s">
        <v>184</v>
      </c>
      <c r="H8" s="6" t="s">
        <v>185</v>
      </c>
    </row>
    <row r="11" spans="1:8">
      <c r="A11" s="8"/>
      <c r="B11" s="8"/>
      <c r="C11" s="8"/>
      <c r="D11" s="8"/>
      <c r="E11" s="8"/>
      <c r="F11" s="8"/>
      <c r="G11" s="8"/>
      <c r="H11" s="8"/>
    </row>
    <row r="12" spans="1:8">
      <c r="A12" s="8"/>
      <c r="B12" s="8"/>
      <c r="C12" s="8"/>
      <c r="D12" s="8"/>
      <c r="E12" s="8"/>
      <c r="F12" s="8"/>
      <c r="G12" s="8"/>
      <c r="H12" s="8"/>
    </row>
    <row r="13" spans="1:8">
      <c r="A13" s="8"/>
      <c r="B13" s="8"/>
      <c r="C13" s="8"/>
      <c r="D13" s="8"/>
      <c r="E13" s="8"/>
      <c r="F13" s="8"/>
      <c r="G13" s="8"/>
      <c r="H13" s="8"/>
    </row>
  </sheetData>
  <mergeCells count="4">
    <mergeCell ref="A1:H1"/>
    <mergeCell ref="A2:H2"/>
    <mergeCell ref="A11:H11"/>
    <mergeCell ref="A12:H1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C15" sqref="C15"/>
    </sheetView>
  </sheetViews>
  <sheetFormatPr defaultColWidth="9" defaultRowHeight="16.8" outlineLevelCol="7"/>
  <cols>
    <col min="1" max="1" width="18" customWidth="1"/>
    <col min="2" max="3" width="32" customWidth="1"/>
    <col min="4" max="5" width="20" customWidth="1"/>
    <col min="6" max="6" width="36" customWidth="1"/>
    <col min="7" max="7" width="12" customWidth="1"/>
    <col min="8" max="8" width="34" customWidth="1"/>
  </cols>
  <sheetData>
    <row r="1" ht="23.2" spans="1:8">
      <c r="A1" s="1" t="s">
        <v>186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4" ht="17" spans="1:8">
      <c r="A4" s="3" t="s">
        <v>187</v>
      </c>
      <c r="B4" s="3" t="s">
        <v>188</v>
      </c>
      <c r="C4" s="3" t="s">
        <v>189</v>
      </c>
      <c r="D4" s="3" t="s">
        <v>190</v>
      </c>
      <c r="E4" s="3" t="s">
        <v>191</v>
      </c>
      <c r="F4" s="3" t="s">
        <v>192</v>
      </c>
      <c r="G4" s="3" t="s">
        <v>193</v>
      </c>
      <c r="H4" s="3" t="s">
        <v>194</v>
      </c>
    </row>
    <row r="5" spans="1:8">
      <c r="A5" s="4" t="s">
        <v>195</v>
      </c>
      <c r="B5" s="4" t="s">
        <v>196</v>
      </c>
      <c r="C5" s="4" t="s">
        <v>197</v>
      </c>
      <c r="D5" s="4" t="s">
        <v>198</v>
      </c>
      <c r="E5" s="4" t="s">
        <v>199</v>
      </c>
      <c r="F5" s="4" t="s">
        <v>200</v>
      </c>
      <c r="G5" s="4" t="s">
        <v>201</v>
      </c>
      <c r="H5" s="4" t="s">
        <v>202</v>
      </c>
    </row>
    <row r="6" spans="1:8">
      <c r="A6" s="4" t="s">
        <v>203</v>
      </c>
      <c r="B6" s="4" t="s">
        <v>204</v>
      </c>
      <c r="C6" s="4" t="s">
        <v>205</v>
      </c>
      <c r="D6" s="4" t="s">
        <v>206</v>
      </c>
      <c r="E6" s="4" t="s">
        <v>207</v>
      </c>
      <c r="F6" s="4" t="s">
        <v>208</v>
      </c>
      <c r="G6" s="4" t="s">
        <v>201</v>
      </c>
      <c r="H6" s="4" t="s">
        <v>209</v>
      </c>
    </row>
    <row r="7" spans="1:8">
      <c r="A7" s="4" t="s">
        <v>210</v>
      </c>
      <c r="B7" s="4" t="s">
        <v>211</v>
      </c>
      <c r="C7" s="4" t="s">
        <v>212</v>
      </c>
      <c r="D7" s="4" t="s">
        <v>213</v>
      </c>
      <c r="E7" s="4" t="s">
        <v>214</v>
      </c>
      <c r="F7" s="4" t="s">
        <v>215</v>
      </c>
      <c r="G7" s="4" t="s">
        <v>201</v>
      </c>
      <c r="H7" s="4" t="s">
        <v>216</v>
      </c>
    </row>
    <row r="8" spans="1:8">
      <c r="A8" s="4" t="s">
        <v>217</v>
      </c>
      <c r="B8" s="4" t="s">
        <v>218</v>
      </c>
      <c r="C8" s="4" t="s">
        <v>219</v>
      </c>
      <c r="D8" s="4" t="s">
        <v>220</v>
      </c>
      <c r="E8" s="4" t="s">
        <v>221</v>
      </c>
      <c r="F8" s="4" t="s">
        <v>222</v>
      </c>
      <c r="G8" s="4" t="s">
        <v>201</v>
      </c>
      <c r="H8" s="4" t="s">
        <v>223</v>
      </c>
    </row>
    <row r="9" spans="1:8">
      <c r="A9" s="4" t="s">
        <v>224</v>
      </c>
      <c r="B9" s="4" t="s">
        <v>225</v>
      </c>
      <c r="C9" s="4" t="s">
        <v>226</v>
      </c>
      <c r="D9" s="4" t="s">
        <v>227</v>
      </c>
      <c r="E9" s="4" t="s">
        <v>228</v>
      </c>
      <c r="F9" s="4" t="s">
        <v>229</v>
      </c>
      <c r="G9" s="4" t="s">
        <v>201</v>
      </c>
      <c r="H9" s="4" t="s">
        <v>230</v>
      </c>
    </row>
    <row r="10" spans="1:8">
      <c r="A10" s="4" t="s">
        <v>231</v>
      </c>
      <c r="B10" s="4" t="s">
        <v>232</v>
      </c>
      <c r="C10" s="4" t="s">
        <v>233</v>
      </c>
      <c r="D10" s="4" t="s">
        <v>234</v>
      </c>
      <c r="E10" s="4" t="s">
        <v>235</v>
      </c>
      <c r="F10" s="4" t="s">
        <v>236</v>
      </c>
      <c r="G10" s="4" t="s">
        <v>201</v>
      </c>
      <c r="H10" s="4" t="s">
        <v>237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H16" sqref="H16"/>
    </sheetView>
  </sheetViews>
  <sheetFormatPr defaultColWidth="9" defaultRowHeight="16.8" outlineLevelCol="7"/>
  <cols>
    <col min="1" max="1" width="20" customWidth="1"/>
    <col min="2" max="4" width="12" customWidth="1"/>
    <col min="5" max="5" width="14" customWidth="1"/>
    <col min="6" max="6" width="36" customWidth="1"/>
    <col min="7" max="7" width="34" customWidth="1"/>
    <col min="8" max="8" width="38" customWidth="1"/>
  </cols>
  <sheetData>
    <row r="1" ht="23.2" spans="1:8">
      <c r="A1" s="1" t="s">
        <v>238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4" ht="17" spans="1:8">
      <c r="A4" s="3" t="s">
        <v>157</v>
      </c>
      <c r="B4" s="3" t="s">
        <v>239</v>
      </c>
      <c r="C4" s="3" t="s">
        <v>240</v>
      </c>
      <c r="D4" s="3" t="s">
        <v>241</v>
      </c>
      <c r="E4" s="3" t="s">
        <v>242</v>
      </c>
      <c r="F4" s="3" t="s">
        <v>243</v>
      </c>
      <c r="G4" s="3" t="s">
        <v>244</v>
      </c>
      <c r="H4" s="3" t="s">
        <v>194</v>
      </c>
    </row>
    <row r="5" spans="1:8">
      <c r="A5" s="4" t="s">
        <v>245</v>
      </c>
      <c r="B5" s="10">
        <v>15</v>
      </c>
      <c r="C5" s="10">
        <v>20</v>
      </c>
      <c r="D5" s="10">
        <f>AVERAGE(B5:C5)</f>
        <v>17.5</v>
      </c>
      <c r="E5" s="4" t="s">
        <v>246</v>
      </c>
      <c r="F5" s="4" t="s">
        <v>247</v>
      </c>
      <c r="G5" s="4" t="s">
        <v>248</v>
      </c>
      <c r="H5" s="4" t="s">
        <v>249</v>
      </c>
    </row>
    <row r="6" spans="1:8">
      <c r="A6" s="4" t="s">
        <v>250</v>
      </c>
      <c r="B6" s="10">
        <v>8</v>
      </c>
      <c r="C6" s="10">
        <v>10</v>
      </c>
      <c r="D6" s="10">
        <f>AVERAGE(B6:C6)</f>
        <v>9</v>
      </c>
      <c r="E6" s="11">
        <f>D6/D5</f>
        <v>0.514285714285714</v>
      </c>
      <c r="F6" s="4" t="s">
        <v>251</v>
      </c>
      <c r="G6" s="4" t="s">
        <v>252</v>
      </c>
      <c r="H6" s="4" t="s">
        <v>253</v>
      </c>
    </row>
    <row r="7" spans="1:8">
      <c r="A7" s="4" t="s">
        <v>254</v>
      </c>
      <c r="B7" s="10">
        <v>3</v>
      </c>
      <c r="C7" s="10">
        <v>5</v>
      </c>
      <c r="D7" s="10">
        <f>AVERAGE(B7:C7)</f>
        <v>4</v>
      </c>
      <c r="E7" s="11">
        <f>D7/D6</f>
        <v>0.444444444444444</v>
      </c>
      <c r="F7" s="4" t="s">
        <v>255</v>
      </c>
      <c r="G7" s="4" t="s">
        <v>256</v>
      </c>
      <c r="H7" s="4" t="s">
        <v>257</v>
      </c>
    </row>
    <row r="8" spans="1:8">
      <c r="A8" s="4" t="s">
        <v>258</v>
      </c>
      <c r="B8" s="10">
        <v>2</v>
      </c>
      <c r="C8" s="10">
        <v>3</v>
      </c>
      <c r="D8" s="10">
        <f>AVERAGE(B8:C8)</f>
        <v>2.5</v>
      </c>
      <c r="E8" s="11">
        <f>D8/D7</f>
        <v>0.625</v>
      </c>
      <c r="F8" s="4" t="s">
        <v>259</v>
      </c>
      <c r="G8" s="4" t="s">
        <v>260</v>
      </c>
      <c r="H8" s="4" t="s">
        <v>261</v>
      </c>
    </row>
    <row r="9" spans="1:8">
      <c r="A9" s="4" t="s">
        <v>262</v>
      </c>
      <c r="B9" s="10">
        <v>1</v>
      </c>
      <c r="C9" s="10">
        <v>2</v>
      </c>
      <c r="D9" s="10">
        <f>AVERAGE(B9:C9)</f>
        <v>1.5</v>
      </c>
      <c r="E9" s="11">
        <f>D9/D8</f>
        <v>0.6</v>
      </c>
      <c r="F9" s="4" t="s">
        <v>263</v>
      </c>
      <c r="G9" s="4" t="s">
        <v>264</v>
      </c>
      <c r="H9" s="4" t="s">
        <v>265</v>
      </c>
    </row>
    <row r="12" spans="1:8">
      <c r="A12" s="8"/>
      <c r="B12" s="8"/>
      <c r="C12" s="8"/>
      <c r="D12" s="8"/>
      <c r="E12" s="8"/>
      <c r="F12" s="8"/>
      <c r="G12" s="8"/>
      <c r="H12" s="8"/>
    </row>
    <row r="13" spans="1:8">
      <c r="A13" s="8"/>
      <c r="B13" s="8"/>
      <c r="C13" s="8"/>
      <c r="D13" s="8"/>
      <c r="E13" s="8"/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</sheetData>
  <mergeCells count="4">
    <mergeCell ref="A1:H1"/>
    <mergeCell ref="A2:H2"/>
    <mergeCell ref="A12:H12"/>
    <mergeCell ref="A13:H1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2" sqref="A2:J2"/>
    </sheetView>
  </sheetViews>
  <sheetFormatPr defaultColWidth="9" defaultRowHeight="16.8"/>
  <cols>
    <col min="1" max="1" width="16" customWidth="1"/>
    <col min="2" max="3" width="18" customWidth="1"/>
    <col min="4" max="6" width="15" customWidth="1"/>
    <col min="7" max="7" width="12" customWidth="1"/>
    <col min="8" max="8" width="16" customWidth="1"/>
    <col min="9" max="9" width="28" customWidth="1"/>
    <col min="10" max="10" width="16" customWidth="1"/>
  </cols>
  <sheetData>
    <row r="1" ht="23.2" spans="1:10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4" ht="17" spans="1:10">
      <c r="A4" s="3" t="s">
        <v>267</v>
      </c>
      <c r="B4" s="3" t="s">
        <v>268</v>
      </c>
      <c r="C4" s="3" t="s">
        <v>269</v>
      </c>
      <c r="D4" s="3" t="s">
        <v>270</v>
      </c>
      <c r="E4" s="3" t="s">
        <v>271</v>
      </c>
      <c r="F4" s="3" t="s">
        <v>272</v>
      </c>
      <c r="G4" s="3" t="s">
        <v>273</v>
      </c>
      <c r="H4" s="3" t="s">
        <v>274</v>
      </c>
      <c r="I4" s="3" t="s">
        <v>193</v>
      </c>
      <c r="J4" s="3" t="s">
        <v>194</v>
      </c>
    </row>
    <row r="5" ht="31" spans="1:10">
      <c r="A5" s="4" t="s">
        <v>275</v>
      </c>
      <c r="B5" s="4" t="s">
        <v>276</v>
      </c>
      <c r="C5" s="4" t="s">
        <v>277</v>
      </c>
      <c r="D5" s="4" t="s">
        <v>278</v>
      </c>
      <c r="E5" s="4" t="s">
        <v>279</v>
      </c>
      <c r="F5" s="4" t="s">
        <v>280</v>
      </c>
      <c r="G5" s="4" t="s">
        <v>281</v>
      </c>
      <c r="H5" s="4" t="s">
        <v>282</v>
      </c>
      <c r="I5" s="4" t="s">
        <v>201</v>
      </c>
      <c r="J5" s="4" t="s">
        <v>283</v>
      </c>
    </row>
    <row r="6" ht="31" spans="1:10">
      <c r="A6" s="4" t="s">
        <v>284</v>
      </c>
      <c r="B6" s="4" t="s">
        <v>285</v>
      </c>
      <c r="C6" s="4" t="s">
        <v>286</v>
      </c>
      <c r="D6" s="4" t="s">
        <v>287</v>
      </c>
      <c r="E6" s="4" t="s">
        <v>288</v>
      </c>
      <c r="F6" s="4" t="s">
        <v>289</v>
      </c>
      <c r="G6" s="4" t="s">
        <v>290</v>
      </c>
      <c r="H6" s="4" t="s">
        <v>291</v>
      </c>
      <c r="I6" s="4" t="s">
        <v>201</v>
      </c>
      <c r="J6" s="4" t="s">
        <v>292</v>
      </c>
    </row>
    <row r="7" ht="31" spans="1:10">
      <c r="A7" s="4" t="s">
        <v>293</v>
      </c>
      <c r="B7" s="4" t="s">
        <v>294</v>
      </c>
      <c r="C7" s="4" t="s">
        <v>295</v>
      </c>
      <c r="D7" s="4" t="s">
        <v>296</v>
      </c>
      <c r="E7" s="4" t="s">
        <v>297</v>
      </c>
      <c r="F7" s="4" t="s">
        <v>298</v>
      </c>
      <c r="G7" s="4" t="s">
        <v>299</v>
      </c>
      <c r="H7" s="4" t="s">
        <v>300</v>
      </c>
      <c r="I7" s="4" t="s">
        <v>201</v>
      </c>
      <c r="J7" s="4" t="s">
        <v>301</v>
      </c>
    </row>
    <row r="8" spans="1:10">
      <c r="A8" s="4" t="s">
        <v>302</v>
      </c>
      <c r="B8" s="4" t="s">
        <v>303</v>
      </c>
      <c r="C8" s="4" t="s">
        <v>304</v>
      </c>
      <c r="D8" s="4" t="s">
        <v>305</v>
      </c>
      <c r="E8" s="4" t="s">
        <v>306</v>
      </c>
      <c r="F8" s="4" t="s">
        <v>307</v>
      </c>
      <c r="G8" s="4" t="s">
        <v>308</v>
      </c>
      <c r="H8" s="4" t="s">
        <v>309</v>
      </c>
      <c r="I8" s="4" t="s">
        <v>201</v>
      </c>
      <c r="J8" s="4" t="s">
        <v>310</v>
      </c>
    </row>
    <row r="9" spans="1:10">
      <c r="A9" s="4" t="s">
        <v>311</v>
      </c>
      <c r="B9" s="4" t="s">
        <v>312</v>
      </c>
      <c r="C9" s="4" t="s">
        <v>313</v>
      </c>
      <c r="D9" s="4" t="s">
        <v>314</v>
      </c>
      <c r="E9" s="4" t="s">
        <v>315</v>
      </c>
      <c r="F9" s="4" t="s">
        <v>316</v>
      </c>
      <c r="G9" s="4" t="s">
        <v>317</v>
      </c>
      <c r="H9" s="4" t="s">
        <v>318</v>
      </c>
      <c r="I9" s="4" t="s">
        <v>201</v>
      </c>
      <c r="J9" s="4" t="s">
        <v>319</v>
      </c>
    </row>
    <row r="12" spans="1:10">
      <c r="A12" s="9" t="s">
        <v>320</v>
      </c>
      <c r="B12" s="9"/>
      <c r="C12" s="9"/>
      <c r="D12" s="9"/>
      <c r="E12" s="9"/>
      <c r="F12" s="9"/>
      <c r="G12" s="9"/>
      <c r="H12" s="9"/>
      <c r="I12" s="9"/>
      <c r="J12" s="9"/>
    </row>
    <row r="14" ht="17" spans="1:10">
      <c r="A14" s="3" t="s">
        <v>321</v>
      </c>
      <c r="B14" s="3" t="s">
        <v>322</v>
      </c>
      <c r="C14" s="3" t="s">
        <v>323</v>
      </c>
      <c r="D14" s="3" t="s">
        <v>324</v>
      </c>
      <c r="E14" s="3" t="s">
        <v>325</v>
      </c>
      <c r="F14" s="3" t="s">
        <v>326</v>
      </c>
      <c r="G14" s="3" t="s">
        <v>327</v>
      </c>
      <c r="H14" s="3" t="s">
        <v>328</v>
      </c>
      <c r="I14" s="3" t="s">
        <v>329</v>
      </c>
      <c r="J14" s="3" t="s">
        <v>330</v>
      </c>
    </row>
    <row r="15" spans="1:10">
      <c r="A15" s="4" t="s">
        <v>331</v>
      </c>
      <c r="B15" s="4" t="s">
        <v>331</v>
      </c>
      <c r="C15" s="4" t="s">
        <v>331</v>
      </c>
      <c r="D15" s="10"/>
      <c r="E15" s="10"/>
      <c r="F15" s="10"/>
      <c r="G15" s="11" t="str">
        <f>IFERROR((D15-E15-F15)/D15,"-")</f>
        <v>-</v>
      </c>
      <c r="H15" s="4" t="s">
        <v>331</v>
      </c>
      <c r="I15" s="4" t="s">
        <v>331</v>
      </c>
      <c r="J15" s="4" t="s">
        <v>331</v>
      </c>
    </row>
  </sheetData>
  <mergeCells count="3">
    <mergeCell ref="A1:J1"/>
    <mergeCell ref="A2:J2"/>
    <mergeCell ref="A12:J1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2" sqref="A2:G2"/>
    </sheetView>
  </sheetViews>
  <sheetFormatPr defaultColWidth="9" defaultRowHeight="16.8" outlineLevelCol="6"/>
  <cols>
    <col min="1" max="1" width="18" customWidth="1"/>
    <col min="2" max="2" width="42" customWidth="1"/>
    <col min="3" max="3" width="14" customWidth="1"/>
    <col min="4" max="4" width="16" customWidth="1"/>
    <col min="5" max="6" width="28" customWidth="1"/>
    <col min="7" max="7" width="34" customWidth="1"/>
  </cols>
  <sheetData>
    <row r="1" ht="23.2" spans="1:7">
      <c r="A1" s="1" t="s">
        <v>332</v>
      </c>
      <c r="B1" s="1"/>
      <c r="C1" s="1"/>
      <c r="D1" s="1"/>
      <c r="E1" s="1"/>
      <c r="F1" s="1"/>
      <c r="G1" s="1"/>
    </row>
    <row r="2" spans="1:7">
      <c r="A2" s="2"/>
      <c r="B2" s="2"/>
      <c r="C2" s="2"/>
      <c r="D2" s="2"/>
      <c r="E2" s="2"/>
      <c r="F2" s="2"/>
      <c r="G2" s="2"/>
    </row>
    <row r="4" ht="17" spans="1:7">
      <c r="A4" s="3" t="s">
        <v>333</v>
      </c>
      <c r="B4" s="3" t="s">
        <v>334</v>
      </c>
      <c r="C4" s="3" t="s">
        <v>335</v>
      </c>
      <c r="D4" s="3" t="s">
        <v>336</v>
      </c>
      <c r="E4" s="3" t="s">
        <v>337</v>
      </c>
      <c r="F4" s="3" t="s">
        <v>338</v>
      </c>
      <c r="G4" s="3" t="s">
        <v>194</v>
      </c>
    </row>
    <row r="5" spans="1:7">
      <c r="A5" s="4" t="s">
        <v>339</v>
      </c>
      <c r="B5" s="4" t="s">
        <v>340</v>
      </c>
      <c r="C5" s="4" t="s">
        <v>341</v>
      </c>
      <c r="D5" s="4" t="s">
        <v>341</v>
      </c>
      <c r="E5" s="4" t="s">
        <v>342</v>
      </c>
      <c r="F5" s="4" t="s">
        <v>343</v>
      </c>
      <c r="G5" s="4" t="s">
        <v>344</v>
      </c>
    </row>
    <row r="6" spans="1:7">
      <c r="A6" s="4" t="s">
        <v>345</v>
      </c>
      <c r="B6" s="4" t="s">
        <v>346</v>
      </c>
      <c r="C6" s="4" t="s">
        <v>341</v>
      </c>
      <c r="D6" s="4" t="s">
        <v>341</v>
      </c>
      <c r="E6" s="4" t="s">
        <v>347</v>
      </c>
      <c r="F6" s="4" t="s">
        <v>348</v>
      </c>
      <c r="G6" s="4" t="s">
        <v>349</v>
      </c>
    </row>
    <row r="7" spans="1:7">
      <c r="A7" s="4" t="s">
        <v>350</v>
      </c>
      <c r="B7" s="4" t="s">
        <v>351</v>
      </c>
      <c r="C7" s="4" t="s">
        <v>341</v>
      </c>
      <c r="D7" s="4" t="s">
        <v>352</v>
      </c>
      <c r="E7" s="4" t="s">
        <v>353</v>
      </c>
      <c r="F7" s="4" t="s">
        <v>354</v>
      </c>
      <c r="G7" s="4" t="s">
        <v>355</v>
      </c>
    </row>
    <row r="8" spans="1:7">
      <c r="A8" s="4" t="s">
        <v>356</v>
      </c>
      <c r="B8" s="4" t="s">
        <v>357</v>
      </c>
      <c r="C8" s="4" t="s">
        <v>358</v>
      </c>
      <c r="D8" s="4" t="s">
        <v>341</v>
      </c>
      <c r="E8" s="4" t="s">
        <v>359</v>
      </c>
      <c r="F8" s="4" t="s">
        <v>360</v>
      </c>
      <c r="G8" s="4" t="s">
        <v>361</v>
      </c>
    </row>
    <row r="9" spans="1:7">
      <c r="A9" s="4" t="s">
        <v>362</v>
      </c>
      <c r="B9" s="4" t="s">
        <v>363</v>
      </c>
      <c r="C9" s="4" t="s">
        <v>341</v>
      </c>
      <c r="D9" s="4" t="s">
        <v>341</v>
      </c>
      <c r="E9" s="4" t="s">
        <v>364</v>
      </c>
      <c r="F9" s="4" t="s">
        <v>365</v>
      </c>
      <c r="G9" s="4" t="s">
        <v>366</v>
      </c>
    </row>
    <row r="10" spans="1:7">
      <c r="A10" s="4" t="s">
        <v>367</v>
      </c>
      <c r="B10" s="4" t="s">
        <v>368</v>
      </c>
      <c r="C10" s="4" t="s">
        <v>352</v>
      </c>
      <c r="D10" s="4" t="s">
        <v>369</v>
      </c>
      <c r="E10" s="4" t="s">
        <v>370</v>
      </c>
      <c r="F10" s="4" t="s">
        <v>371</v>
      </c>
      <c r="G10" s="4" t="s">
        <v>372</v>
      </c>
    </row>
    <row r="11" spans="1:7">
      <c r="A11" s="4" t="s">
        <v>373</v>
      </c>
      <c r="B11" s="4" t="s">
        <v>374</v>
      </c>
      <c r="C11" s="4" t="s">
        <v>352</v>
      </c>
      <c r="D11" s="4" t="s">
        <v>369</v>
      </c>
      <c r="E11" s="4" t="s">
        <v>375</v>
      </c>
      <c r="F11" s="4" t="s">
        <v>376</v>
      </c>
      <c r="G11" s="4" t="s">
        <v>377</v>
      </c>
    </row>
    <row r="14" spans="1:7">
      <c r="A14" s="8"/>
      <c r="B14" s="8"/>
      <c r="C14" s="8"/>
      <c r="D14" s="8"/>
      <c r="E14" s="8"/>
      <c r="F14" s="8"/>
      <c r="G14" s="8"/>
    </row>
    <row r="15" spans="1:7">
      <c r="A15" s="8"/>
      <c r="B15" s="8"/>
      <c r="C15" s="8"/>
      <c r="D15" s="8"/>
      <c r="E15" s="8"/>
      <c r="F15" s="8"/>
      <c r="G15" s="8"/>
    </row>
    <row r="16" spans="1:7">
      <c r="A16" s="8"/>
      <c r="B16" s="8"/>
      <c r="C16" s="8"/>
      <c r="D16" s="8"/>
      <c r="E16" s="8"/>
      <c r="F16" s="8"/>
      <c r="G16" s="8"/>
    </row>
    <row r="17" spans="1:7">
      <c r="A17" s="8"/>
      <c r="B17" s="8"/>
      <c r="C17" s="8"/>
      <c r="D17" s="8"/>
      <c r="E17" s="8"/>
      <c r="F17" s="8"/>
      <c r="G17" s="8"/>
    </row>
  </sheetData>
  <mergeCells count="3">
    <mergeCell ref="A1:G1"/>
    <mergeCell ref="A2:G2"/>
    <mergeCell ref="A14:G1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2" sqref="A2:G2"/>
    </sheetView>
  </sheetViews>
  <sheetFormatPr defaultColWidth="9" defaultRowHeight="16.8" outlineLevelCol="6"/>
  <cols>
    <col min="1" max="1" width="18" customWidth="1"/>
    <col min="2" max="2" width="22" customWidth="1"/>
    <col min="3" max="4" width="34" customWidth="1"/>
    <col min="5" max="5" width="30" customWidth="1"/>
    <col min="6" max="6" width="28" customWidth="1"/>
    <col min="7" max="7" width="12" customWidth="1"/>
  </cols>
  <sheetData>
    <row r="1" ht="23.2" spans="1:7">
      <c r="A1" s="1" t="s">
        <v>378</v>
      </c>
      <c r="B1" s="1"/>
      <c r="C1" s="1"/>
      <c r="D1" s="1"/>
      <c r="E1" s="1"/>
      <c r="F1" s="1"/>
      <c r="G1" s="1"/>
    </row>
    <row r="2" spans="1:7">
      <c r="A2" s="2"/>
      <c r="B2" s="2"/>
      <c r="C2" s="2"/>
      <c r="D2" s="2"/>
      <c r="E2" s="2"/>
      <c r="F2" s="2"/>
      <c r="G2" s="2"/>
    </row>
    <row r="4" ht="17" spans="1:7">
      <c r="A4" s="3" t="s">
        <v>379</v>
      </c>
      <c r="B4" s="3" t="s">
        <v>380</v>
      </c>
      <c r="C4" s="3" t="s">
        <v>381</v>
      </c>
      <c r="D4" s="3" t="s">
        <v>382</v>
      </c>
      <c r="E4" s="3" t="s">
        <v>383</v>
      </c>
      <c r="F4" s="3" t="s">
        <v>384</v>
      </c>
      <c r="G4" s="3" t="s">
        <v>385</v>
      </c>
    </row>
    <row r="5" spans="1:7">
      <c r="A5" s="4" t="s">
        <v>386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</row>
    <row r="6" spans="1:7">
      <c r="A6" s="4" t="s">
        <v>393</v>
      </c>
      <c r="B6" s="4" t="s">
        <v>394</v>
      </c>
      <c r="C6" s="4" t="s">
        <v>395</v>
      </c>
      <c r="D6" s="4" t="s">
        <v>396</v>
      </c>
      <c r="E6" s="4" t="s">
        <v>397</v>
      </c>
      <c r="F6" s="4" t="s">
        <v>398</v>
      </c>
      <c r="G6" s="4" t="s">
        <v>392</v>
      </c>
    </row>
    <row r="7" spans="1:7">
      <c r="A7" s="4" t="s">
        <v>399</v>
      </c>
      <c r="B7" s="4" t="s">
        <v>400</v>
      </c>
      <c r="C7" s="4" t="s">
        <v>401</v>
      </c>
      <c r="D7" s="4" t="s">
        <v>402</v>
      </c>
      <c r="E7" s="4" t="s">
        <v>403</v>
      </c>
      <c r="F7" s="4" t="s">
        <v>213</v>
      </c>
      <c r="G7" s="4" t="s">
        <v>392</v>
      </c>
    </row>
    <row r="8" spans="1:7">
      <c r="A8" s="4" t="s">
        <v>404</v>
      </c>
      <c r="B8" s="4" t="s">
        <v>405</v>
      </c>
      <c r="C8" s="4" t="s">
        <v>406</v>
      </c>
      <c r="D8" s="4" t="s">
        <v>407</v>
      </c>
      <c r="E8" s="4" t="s">
        <v>408</v>
      </c>
      <c r="F8" s="4" t="s">
        <v>60</v>
      </c>
      <c r="G8" s="4" t="s">
        <v>409</v>
      </c>
    </row>
    <row r="9" spans="1:7">
      <c r="A9" s="4" t="s">
        <v>410</v>
      </c>
      <c r="B9" s="4" t="s">
        <v>411</v>
      </c>
      <c r="C9" s="4" t="s">
        <v>412</v>
      </c>
      <c r="D9" s="4" t="s">
        <v>413</v>
      </c>
      <c r="E9" s="4" t="s">
        <v>414</v>
      </c>
      <c r="F9" s="4" t="s">
        <v>69</v>
      </c>
      <c r="G9" s="4" t="s">
        <v>409</v>
      </c>
    </row>
    <row r="10" spans="1:7">
      <c r="A10" s="4" t="s">
        <v>415</v>
      </c>
      <c r="B10" s="4" t="s">
        <v>416</v>
      </c>
      <c r="C10" s="4" t="s">
        <v>417</v>
      </c>
      <c r="D10" s="4" t="s">
        <v>418</v>
      </c>
      <c r="E10" s="4" t="s">
        <v>419</v>
      </c>
      <c r="F10" s="4" t="s">
        <v>420</v>
      </c>
      <c r="G10" s="4" t="s">
        <v>421</v>
      </c>
    </row>
    <row r="11" spans="1:7">
      <c r="A11" s="4" t="s">
        <v>422</v>
      </c>
      <c r="B11" s="4" t="s">
        <v>423</v>
      </c>
      <c r="C11" s="4" t="s">
        <v>424</v>
      </c>
      <c r="D11" s="4" t="s">
        <v>425</v>
      </c>
      <c r="E11" s="4" t="s">
        <v>426</v>
      </c>
      <c r="F11" s="4" t="s">
        <v>427</v>
      </c>
      <c r="G11" s="4" t="s">
        <v>421</v>
      </c>
    </row>
    <row r="12" spans="1:7">
      <c r="A12" s="4" t="s">
        <v>428</v>
      </c>
      <c r="B12" s="4" t="s">
        <v>429</v>
      </c>
      <c r="C12" s="4" t="s">
        <v>430</v>
      </c>
      <c r="D12" s="4" t="s">
        <v>431</v>
      </c>
      <c r="E12" s="4" t="s">
        <v>426</v>
      </c>
      <c r="F12" s="4" t="s">
        <v>432</v>
      </c>
      <c r="G12" s="4" t="s">
        <v>421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8"/>
      <c r="B16" s="8"/>
      <c r="C16" s="8"/>
      <c r="D16" s="8"/>
      <c r="E16" s="8"/>
      <c r="F16" s="8"/>
      <c r="G16" s="8"/>
    </row>
    <row r="17" spans="1:7">
      <c r="A17" s="8"/>
      <c r="B17" s="8"/>
      <c r="C17" s="8"/>
      <c r="D17" s="8"/>
      <c r="E17" s="8"/>
      <c r="F17" s="8"/>
      <c r="G17" s="8"/>
    </row>
  </sheetData>
  <mergeCells count="4">
    <mergeCell ref="A1:G1"/>
    <mergeCell ref="A2:G2"/>
    <mergeCell ref="A15:G15"/>
    <mergeCell ref="A16:G17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B1" workbookViewId="0">
      <selection activeCell="A2" sqref="A2:G2"/>
    </sheetView>
  </sheetViews>
  <sheetFormatPr defaultColWidth="9" defaultRowHeight="16.8" outlineLevelCol="6"/>
  <cols>
    <col min="1" max="1" width="24" customWidth="1"/>
    <col min="2" max="2" width="58" customWidth="1"/>
    <col min="3" max="3" width="34" customWidth="1"/>
    <col min="4" max="4" width="20" customWidth="1"/>
    <col min="5" max="5" width="24" customWidth="1"/>
    <col min="6" max="7" width="8" customWidth="1"/>
  </cols>
  <sheetData>
    <row r="1" ht="23.2" spans="1:7">
      <c r="A1" s="1" t="s">
        <v>433</v>
      </c>
      <c r="B1" s="1"/>
      <c r="C1" s="1"/>
      <c r="D1" s="1"/>
      <c r="E1" s="1"/>
      <c r="F1" s="1"/>
      <c r="G1" s="1"/>
    </row>
    <row r="2" spans="1:7">
      <c r="A2" s="2"/>
      <c r="B2" s="2"/>
      <c r="C2" s="2"/>
      <c r="D2" s="2"/>
      <c r="E2" s="2"/>
      <c r="F2" s="2"/>
      <c r="G2" s="2"/>
    </row>
    <row r="4" spans="1:7">
      <c r="A4" s="9" t="s">
        <v>434</v>
      </c>
      <c r="B4" s="9"/>
      <c r="C4" s="9"/>
      <c r="D4" s="9"/>
      <c r="E4" s="9"/>
      <c r="F4" s="9"/>
      <c r="G4" s="9"/>
    </row>
    <row r="5" ht="34" spans="1:7">
      <c r="A5" s="3" t="s">
        <v>435</v>
      </c>
      <c r="B5" s="3" t="s">
        <v>436</v>
      </c>
      <c r="C5" s="3" t="s">
        <v>437</v>
      </c>
      <c r="D5" s="3" t="s">
        <v>438</v>
      </c>
      <c r="E5" s="3" t="s">
        <v>439</v>
      </c>
      <c r="F5" s="3" t="s">
        <v>440</v>
      </c>
      <c r="G5" s="3" t="s">
        <v>441</v>
      </c>
    </row>
    <row r="6" spans="1:7">
      <c r="A6" s="4" t="s">
        <v>442</v>
      </c>
      <c r="B6" s="4" t="s">
        <v>443</v>
      </c>
      <c r="C6" s="4" t="s">
        <v>444</v>
      </c>
      <c r="D6" s="4" t="s">
        <v>445</v>
      </c>
      <c r="E6" s="4" t="s">
        <v>352</v>
      </c>
      <c r="F6" s="4" t="s">
        <v>352</v>
      </c>
      <c r="G6" s="4" t="s">
        <v>352</v>
      </c>
    </row>
    <row r="7" spans="1:7">
      <c r="A7" s="4" t="s">
        <v>446</v>
      </c>
      <c r="B7" s="4" t="s">
        <v>447</v>
      </c>
      <c r="C7" s="4" t="s">
        <v>448</v>
      </c>
      <c r="D7" s="4" t="s">
        <v>449</v>
      </c>
      <c r="E7" s="4" t="s">
        <v>352</v>
      </c>
      <c r="F7" s="4" t="s">
        <v>352</v>
      </c>
      <c r="G7" s="4" t="s">
        <v>352</v>
      </c>
    </row>
    <row r="8" spans="1:7">
      <c r="A8" s="4" t="s">
        <v>450</v>
      </c>
      <c r="B8" s="4" t="s">
        <v>451</v>
      </c>
      <c r="C8" s="4" t="s">
        <v>452</v>
      </c>
      <c r="D8" s="4" t="s">
        <v>453</v>
      </c>
      <c r="E8" s="4" t="s">
        <v>352</v>
      </c>
      <c r="F8" s="4" t="s">
        <v>352</v>
      </c>
      <c r="G8" s="4" t="s">
        <v>352</v>
      </c>
    </row>
    <row r="9" spans="1:7">
      <c r="A9" s="4" t="s">
        <v>454</v>
      </c>
      <c r="B9" s="4" t="s">
        <v>455</v>
      </c>
      <c r="C9" s="4" t="s">
        <v>456</v>
      </c>
      <c r="D9" s="4" t="s">
        <v>457</v>
      </c>
      <c r="E9" s="4" t="s">
        <v>352</v>
      </c>
      <c r="F9" s="4" t="s">
        <v>352</v>
      </c>
      <c r="G9" s="4" t="s">
        <v>352</v>
      </c>
    </row>
    <row r="10" spans="1:7">
      <c r="A10" s="4" t="s">
        <v>458</v>
      </c>
      <c r="B10" s="4" t="s">
        <v>459</v>
      </c>
      <c r="C10" s="4" t="s">
        <v>460</v>
      </c>
      <c r="D10" s="4" t="s">
        <v>461</v>
      </c>
      <c r="E10" s="4" t="s">
        <v>352</v>
      </c>
      <c r="F10" s="4" t="s">
        <v>352</v>
      </c>
      <c r="G10" s="4" t="s">
        <v>352</v>
      </c>
    </row>
    <row r="13" spans="1:7">
      <c r="A13" s="9" t="s">
        <v>462</v>
      </c>
      <c r="B13" s="9"/>
      <c r="C13" s="9"/>
      <c r="D13" s="9"/>
      <c r="E13" s="9"/>
      <c r="F13" s="9"/>
      <c r="G13" s="9"/>
    </row>
    <row r="14" ht="17" spans="1:7">
      <c r="A14" s="3" t="s">
        <v>463</v>
      </c>
      <c r="B14" s="3" t="s">
        <v>464</v>
      </c>
      <c r="C14" s="3" t="s">
        <v>465</v>
      </c>
      <c r="D14" s="3" t="s">
        <v>466</v>
      </c>
      <c r="E14" s="3" t="s">
        <v>194</v>
      </c>
    </row>
    <row r="15" ht="31" spans="1:7">
      <c r="A15" s="4" t="s">
        <v>467</v>
      </c>
      <c r="B15" s="4" t="s">
        <v>468</v>
      </c>
      <c r="C15" s="4" t="s">
        <v>469</v>
      </c>
      <c r="D15" s="4" t="s">
        <v>470</v>
      </c>
      <c r="E15" s="4" t="s">
        <v>471</v>
      </c>
    </row>
    <row r="16" spans="1:7">
      <c r="A16" s="4" t="s">
        <v>472</v>
      </c>
      <c r="B16" s="4" t="s">
        <v>473</v>
      </c>
      <c r="C16" s="4" t="s">
        <v>474</v>
      </c>
      <c r="D16" s="4" t="s">
        <v>18</v>
      </c>
      <c r="E16" s="4" t="s">
        <v>475</v>
      </c>
    </row>
    <row r="17" spans="1:5">
      <c r="A17" s="4" t="s">
        <v>476</v>
      </c>
      <c r="B17" s="4" t="s">
        <v>477</v>
      </c>
      <c r="C17" s="4" t="s">
        <v>478</v>
      </c>
      <c r="D17" s="4" t="s">
        <v>26</v>
      </c>
      <c r="E17" s="4" t="s">
        <v>479</v>
      </c>
    </row>
    <row r="18" spans="1:5">
      <c r="A18" s="4" t="s">
        <v>480</v>
      </c>
      <c r="B18" s="4" t="s">
        <v>481</v>
      </c>
      <c r="C18" s="4" t="s">
        <v>482</v>
      </c>
      <c r="D18" s="4" t="s">
        <v>22</v>
      </c>
      <c r="E18" s="4" t="s">
        <v>483</v>
      </c>
    </row>
    <row r="19" ht="31" spans="1:5">
      <c r="A19" s="4" t="s">
        <v>484</v>
      </c>
      <c r="B19" s="4" t="s">
        <v>485</v>
      </c>
      <c r="C19" s="4" t="s">
        <v>486</v>
      </c>
      <c r="D19" s="4" t="s">
        <v>30</v>
      </c>
      <c r="E19" s="4" t="s">
        <v>487</v>
      </c>
    </row>
  </sheetData>
  <mergeCells count="4">
    <mergeCell ref="A1:G1"/>
    <mergeCell ref="A2:G2"/>
    <mergeCell ref="A4:G4"/>
    <mergeCell ref="A13:G13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G18" sqref="G18"/>
    </sheetView>
  </sheetViews>
  <sheetFormatPr defaultColWidth="9" defaultRowHeight="16.8" outlineLevelCol="7"/>
  <cols>
    <col min="1" max="1" width="26" customWidth="1"/>
    <col min="2" max="5" width="12" customWidth="1"/>
    <col min="6" max="6" width="48" customWidth="1"/>
    <col min="7" max="7" width="38" customWidth="1"/>
    <col min="8" max="8" width="26" customWidth="1"/>
  </cols>
  <sheetData>
    <row r="1" ht="23.2" spans="1:8">
      <c r="A1" s="1" t="s">
        <v>488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4" ht="17" spans="1:8">
      <c r="A4" s="3" t="s">
        <v>489</v>
      </c>
      <c r="B4" s="3" t="s">
        <v>159</v>
      </c>
      <c r="C4" s="3" t="s">
        <v>47</v>
      </c>
      <c r="D4" s="3" t="s">
        <v>48</v>
      </c>
      <c r="E4" s="3" t="s">
        <v>176</v>
      </c>
      <c r="F4" s="3" t="s">
        <v>490</v>
      </c>
      <c r="G4" s="3" t="s">
        <v>274</v>
      </c>
      <c r="H4" s="3" t="s">
        <v>491</v>
      </c>
    </row>
    <row r="5" spans="1:8">
      <c r="A5" s="4" t="s">
        <v>133</v>
      </c>
      <c r="B5" s="5">
        <v>16</v>
      </c>
      <c r="C5" s="5">
        <v>10</v>
      </c>
      <c r="D5" s="5">
        <v>4</v>
      </c>
      <c r="E5" s="5">
        <v>2</v>
      </c>
      <c r="F5" s="4" t="s">
        <v>492</v>
      </c>
      <c r="G5" s="4" t="s">
        <v>493</v>
      </c>
      <c r="H5" s="4" t="s">
        <v>494</v>
      </c>
    </row>
    <row r="6" spans="1:8">
      <c r="A6" s="4" t="s">
        <v>136</v>
      </c>
      <c r="B6" s="5">
        <v>16</v>
      </c>
      <c r="C6" s="5">
        <v>12</v>
      </c>
      <c r="D6" s="5">
        <v>3</v>
      </c>
      <c r="E6" s="5">
        <v>1</v>
      </c>
      <c r="F6" s="4" t="s">
        <v>495</v>
      </c>
      <c r="G6" s="4" t="s">
        <v>496</v>
      </c>
      <c r="H6" s="4" t="s">
        <v>494</v>
      </c>
    </row>
    <row r="7" spans="1:8">
      <c r="A7" s="4" t="s">
        <v>138</v>
      </c>
      <c r="B7" s="5">
        <v>18</v>
      </c>
      <c r="C7" s="5">
        <v>10</v>
      </c>
      <c r="D7" s="5">
        <v>5</v>
      </c>
      <c r="E7" s="5">
        <v>3</v>
      </c>
      <c r="F7" s="4" t="s">
        <v>497</v>
      </c>
      <c r="G7" s="4" t="s">
        <v>498</v>
      </c>
      <c r="H7" s="4" t="s">
        <v>499</v>
      </c>
    </row>
    <row r="8" spans="1:8">
      <c r="A8" s="4" t="s">
        <v>141</v>
      </c>
      <c r="B8" s="5">
        <v>13</v>
      </c>
      <c r="C8" s="5">
        <v>7</v>
      </c>
      <c r="D8" s="5">
        <v>4</v>
      </c>
      <c r="E8" s="5">
        <v>2</v>
      </c>
      <c r="F8" s="4" t="s">
        <v>500</v>
      </c>
      <c r="G8" s="4" t="s">
        <v>501</v>
      </c>
      <c r="H8" s="4" t="s">
        <v>494</v>
      </c>
    </row>
    <row r="9" spans="1:8">
      <c r="A9" s="4" t="s">
        <v>144</v>
      </c>
      <c r="B9" s="5">
        <v>12</v>
      </c>
      <c r="C9" s="5">
        <v>3</v>
      </c>
      <c r="D9" s="5">
        <v>4</v>
      </c>
      <c r="E9" s="5">
        <v>5</v>
      </c>
      <c r="F9" s="4" t="s">
        <v>146</v>
      </c>
      <c r="G9" s="4" t="s">
        <v>502</v>
      </c>
      <c r="H9" s="4" t="s">
        <v>503</v>
      </c>
    </row>
    <row r="10" spans="1:8">
      <c r="A10" s="6" t="s">
        <v>73</v>
      </c>
      <c r="B10" s="7">
        <f>SUM(B5:B9)</f>
        <v>75</v>
      </c>
      <c r="C10" s="7">
        <f>SUM(C5:C9)</f>
        <v>42</v>
      </c>
      <c r="D10" s="7">
        <f>SUM(D5:D9)</f>
        <v>20</v>
      </c>
      <c r="E10" s="7">
        <f>SUM(E5:E9)</f>
        <v>13</v>
      </c>
      <c r="F10" s="6" t="s">
        <v>504</v>
      </c>
      <c r="G10" s="6" t="s">
        <v>154</v>
      </c>
      <c r="H10" s="6" t="s">
        <v>154</v>
      </c>
    </row>
    <row r="13" spans="1:8">
      <c r="A13" s="8"/>
      <c r="B13" s="8"/>
      <c r="C13" s="8"/>
      <c r="D13" s="8"/>
      <c r="E13" s="8"/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</sheetData>
  <mergeCells count="4">
    <mergeCell ref="A1:H1"/>
    <mergeCell ref="A2:H2"/>
    <mergeCell ref="A13:H13"/>
    <mergeCell ref="A14:H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封面&amp;导航</vt:lpstr>
      <vt:lpstr>BP展示版</vt:lpstr>
      <vt:lpstr>详细预算拆分</vt:lpstr>
      <vt:lpstr>Runway募资节奏</vt:lpstr>
      <vt:lpstr>融资验证指标</vt:lpstr>
      <vt:lpstr>客户转化漏斗</vt:lpstr>
      <vt:lpstr>ROI Baseline</vt:lpstr>
      <vt:lpstr>收入确认口径</vt:lpstr>
      <vt:lpstr>项目标签归集</vt:lpstr>
      <vt:lpstr>资金纪律与问答</vt:lpstr>
      <vt:lpstr>合规治理&amp;VDR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xucangzhou</cp:lastModifiedBy>
  <dcterms:created xsi:type="dcterms:W3CDTF">2026-07-01T12:01:00Z</dcterms:created>
  <dcterms:modified xsi:type="dcterms:W3CDTF">2026-07-02T15:12:28Z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5BBFD05BFF47CD422AB0436A28AE6C04_43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